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pivotTables/pivotTable1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showPivotChartFilter="1" defaultThemeVersion="124226"/>
  <mc:AlternateContent xmlns:mc="http://schemas.openxmlformats.org/markup-compatibility/2006">
    <mc:Choice Requires="x15">
      <x15ac:absPath xmlns:x15ac="http://schemas.microsoft.com/office/spreadsheetml/2010/11/ac" url="C:\Users\god\Documents\FreeLance\Excel Dashboard\"/>
    </mc:Choice>
  </mc:AlternateContent>
  <bookViews>
    <workbookView xWindow="0" yWindow="0" windowWidth="20490" windowHeight="7800"/>
  </bookViews>
  <sheets>
    <sheet name="Dashboard" sheetId="21" r:id="rId1"/>
    <sheet name="Pie Chart" sheetId="23" state="veryHidden" r:id="rId2"/>
    <sheet name="Product" sheetId="24" state="veryHidden" r:id="rId3"/>
    <sheet name="Category" sheetId="25" state="veryHidden" r:id="rId4"/>
    <sheet name="Profit Line" sheetId="26" state="veryHidden" r:id="rId5"/>
    <sheet name="Profit Pie" sheetId="27" state="veryHidden" r:id="rId6"/>
    <sheet name="Profit Product" sheetId="28" state="veryHidden" r:id="rId7"/>
    <sheet name="Profit Category" sheetId="29" state="veryHidden" r:id="rId8"/>
    <sheet name="FoodSales" sheetId="16" r:id="rId9"/>
    <sheet name="Sales Line CHart" sheetId="22" state="veryHidden" r:id="rId10"/>
  </sheets>
  <definedNames>
    <definedName name="Slicer_Category">#N/A</definedName>
    <definedName name="Slicer_City">#N/A</definedName>
    <definedName name="Slicer_Region">#N/A</definedName>
    <definedName name="Slicer_Years">#N/A</definedName>
  </definedNames>
  <calcPr calcId="162913"/>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Lst>
</workbook>
</file>

<file path=xl/calcChain.xml><?xml version="1.0" encoding="utf-8"?>
<calcChain xmlns="http://schemas.openxmlformats.org/spreadsheetml/2006/main">
  <c r="H245" i="16" l="1"/>
  <c r="H244" i="16"/>
  <c r="H243" i="16"/>
  <c r="H242" i="16"/>
  <c r="H241" i="16"/>
  <c r="H240" i="16"/>
  <c r="H239" i="16"/>
  <c r="H238" i="16"/>
  <c r="H237" i="16"/>
  <c r="H236" i="16"/>
  <c r="H235" i="16"/>
  <c r="H234" i="16"/>
  <c r="H233" i="16"/>
  <c r="H232" i="16"/>
  <c r="H231" i="16"/>
  <c r="H230" i="16"/>
  <c r="H229" i="16"/>
  <c r="H228" i="16"/>
  <c r="H227" i="16"/>
  <c r="H226" i="16"/>
  <c r="H225" i="16"/>
  <c r="H224" i="16"/>
  <c r="H223" i="16"/>
  <c r="H222" i="16"/>
  <c r="H221" i="16"/>
  <c r="H220" i="16"/>
  <c r="H219" i="16"/>
  <c r="H218" i="16"/>
  <c r="H217" i="16"/>
  <c r="H216" i="16"/>
  <c r="H215" i="16"/>
  <c r="H214" i="16"/>
  <c r="H213" i="16"/>
  <c r="H212" i="16"/>
  <c r="H211" i="16"/>
  <c r="H210" i="16"/>
  <c r="H209" i="16"/>
  <c r="H208" i="16"/>
  <c r="H207" i="16"/>
  <c r="H206" i="16"/>
  <c r="H205" i="16"/>
  <c r="H204" i="16"/>
  <c r="H203" i="16"/>
  <c r="H202" i="16"/>
  <c r="H201" i="16"/>
  <c r="H200" i="16"/>
  <c r="H199" i="16"/>
  <c r="H198" i="16"/>
  <c r="H197" i="16"/>
  <c r="H196" i="16"/>
  <c r="H195" i="16"/>
  <c r="H194" i="16"/>
  <c r="H193" i="16"/>
  <c r="H192" i="16"/>
  <c r="H191" i="16"/>
  <c r="H190" i="16"/>
  <c r="H189" i="16"/>
  <c r="H188" i="16"/>
  <c r="H187" i="16"/>
  <c r="H186" i="16"/>
  <c r="H185" i="16"/>
  <c r="H184" i="16"/>
  <c r="H183" i="16"/>
  <c r="H182" i="16"/>
  <c r="H181" i="16"/>
  <c r="H180" i="16"/>
  <c r="H179" i="16"/>
  <c r="H178" i="16"/>
  <c r="H177" i="16"/>
  <c r="H176" i="16"/>
  <c r="H175" i="16"/>
  <c r="H174" i="16"/>
  <c r="H173" i="16"/>
  <c r="H172" i="16"/>
  <c r="H171" i="16"/>
  <c r="H170" i="16"/>
  <c r="H169" i="16"/>
  <c r="H168" i="16"/>
  <c r="H167" i="16"/>
  <c r="H166" i="16"/>
  <c r="H165" i="16"/>
  <c r="H164" i="16"/>
  <c r="H163" i="16"/>
  <c r="H162" i="16"/>
  <c r="H161" i="16"/>
  <c r="H160" i="16"/>
  <c r="H159" i="16"/>
  <c r="H158" i="16"/>
  <c r="H157" i="16"/>
  <c r="H156" i="16"/>
  <c r="H155" i="16"/>
  <c r="H154" i="16"/>
  <c r="H153" i="16"/>
  <c r="H152" i="16"/>
  <c r="H151" i="16"/>
  <c r="H150" i="16"/>
  <c r="H149" i="16"/>
  <c r="H148" i="16"/>
  <c r="H147" i="16"/>
  <c r="H146" i="16"/>
  <c r="H145" i="16"/>
  <c r="H144" i="16"/>
  <c r="H143" i="16"/>
  <c r="H142" i="16"/>
  <c r="H141" i="16"/>
  <c r="H140" i="16"/>
  <c r="H139" i="16"/>
  <c r="H138" i="16"/>
  <c r="H137" i="16"/>
  <c r="H136" i="16"/>
  <c r="H135" i="16"/>
  <c r="H134" i="16"/>
  <c r="H133" i="16"/>
  <c r="H132" i="16"/>
  <c r="H131" i="16"/>
  <c r="H130" i="16"/>
  <c r="H129" i="16"/>
  <c r="H128" i="16"/>
  <c r="H127" i="16"/>
  <c r="H126" i="16"/>
  <c r="H125" i="16"/>
  <c r="H124" i="16"/>
  <c r="H123" i="16"/>
  <c r="H122" i="16"/>
  <c r="H121" i="16"/>
  <c r="H120" i="16"/>
  <c r="H119" i="16"/>
  <c r="H118" i="16"/>
  <c r="H117" i="16"/>
  <c r="H116" i="16"/>
  <c r="H115" i="16"/>
  <c r="H114" i="16"/>
  <c r="H113" i="16"/>
  <c r="H112" i="16"/>
  <c r="H111" i="16"/>
  <c r="H110" i="16"/>
  <c r="H109" i="16"/>
  <c r="H108" i="16"/>
  <c r="H107" i="16"/>
  <c r="H106" i="16"/>
  <c r="H105" i="16"/>
  <c r="H104" i="16"/>
  <c r="H103" i="16"/>
  <c r="H102" i="16"/>
  <c r="H101" i="16"/>
  <c r="H100" i="16"/>
  <c r="H99" i="16"/>
  <c r="H98" i="16"/>
  <c r="H97" i="16"/>
  <c r="H96" i="16"/>
  <c r="H95" i="16"/>
  <c r="H94" i="16"/>
  <c r="H93" i="16"/>
  <c r="H92" i="16"/>
  <c r="H91" i="16"/>
  <c r="H90" i="16"/>
  <c r="H89" i="16"/>
  <c r="H88" i="16"/>
  <c r="H87" i="16"/>
  <c r="H86" i="16"/>
  <c r="H85" i="16"/>
  <c r="H84" i="16"/>
  <c r="H83" i="16"/>
  <c r="H82" i="16"/>
  <c r="H81" i="16"/>
  <c r="H80" i="16"/>
  <c r="H79" i="16"/>
  <c r="H78" i="16"/>
  <c r="H77" i="16"/>
  <c r="H76" i="16"/>
  <c r="H75" i="16"/>
  <c r="H74" i="16"/>
  <c r="H73" i="16"/>
  <c r="H72" i="16"/>
  <c r="H71" i="16"/>
  <c r="H70" i="16"/>
  <c r="H69" i="16"/>
  <c r="H68" i="16"/>
  <c r="H67" i="16"/>
  <c r="H66" i="16"/>
  <c r="H65" i="16"/>
  <c r="H64" i="16"/>
  <c r="H63" i="16"/>
  <c r="H62" i="16"/>
  <c r="H61" i="16"/>
  <c r="H60" i="16"/>
  <c r="H59" i="16"/>
  <c r="H58" i="16"/>
  <c r="H57" i="16"/>
  <c r="H56" i="16"/>
  <c r="H55" i="16"/>
  <c r="H54" i="16"/>
  <c r="H53" i="16"/>
  <c r="H52" i="16"/>
  <c r="H51" i="16"/>
  <c r="H50" i="16"/>
  <c r="H49" i="16"/>
  <c r="H48" i="16"/>
  <c r="H47" i="16"/>
  <c r="H46" i="16"/>
  <c r="H45" i="16"/>
  <c r="H44" i="16"/>
  <c r="H43" i="16"/>
  <c r="H42" i="16"/>
  <c r="H41" i="16"/>
  <c r="H40" i="16"/>
  <c r="H39" i="16"/>
  <c r="H38" i="16"/>
  <c r="H37" i="16"/>
  <c r="H36" i="16"/>
  <c r="H35" i="16"/>
  <c r="H34" i="16"/>
  <c r="H33" i="16"/>
  <c r="H32" i="16"/>
  <c r="H31" i="16"/>
  <c r="H30" i="16"/>
  <c r="H29" i="16"/>
  <c r="H28" i="16"/>
  <c r="H27" i="16"/>
  <c r="H26" i="16"/>
  <c r="H25" i="16"/>
  <c r="H24" i="16"/>
  <c r="H23" i="16"/>
  <c r="H22" i="16"/>
  <c r="H21" i="16"/>
  <c r="H20" i="16"/>
  <c r="H19" i="16"/>
  <c r="H18" i="16"/>
  <c r="H17" i="16"/>
  <c r="H16" i="16"/>
  <c r="H15" i="16"/>
  <c r="H14" i="16"/>
  <c r="H13" i="16"/>
  <c r="H12" i="16"/>
  <c r="H11" i="16"/>
  <c r="H10" i="16"/>
  <c r="H9" i="16"/>
  <c r="H8" i="16"/>
  <c r="H7" i="16"/>
  <c r="H6" i="16"/>
  <c r="H5" i="16"/>
  <c r="H4" i="16"/>
  <c r="H3" i="16"/>
  <c r="H2" i="16"/>
  <c r="H5" i="27"/>
  <c r="G5" i="23"/>
  <c r="H4" i="27"/>
  <c r="G4" i="23"/>
</calcChain>
</file>

<file path=xl/sharedStrings.xml><?xml version="1.0" encoding="utf-8"?>
<sst xmlns="http://schemas.openxmlformats.org/spreadsheetml/2006/main" count="1096" uniqueCount="46">
  <si>
    <t>OrderDate</t>
  </si>
  <si>
    <t>Region</t>
  </si>
  <si>
    <t>City</t>
  </si>
  <si>
    <t>Category</t>
  </si>
  <si>
    <t>Product</t>
  </si>
  <si>
    <t>TotalPrice</t>
  </si>
  <si>
    <t>East</t>
  </si>
  <si>
    <t>Boston</t>
  </si>
  <si>
    <t>Arrowroot</t>
  </si>
  <si>
    <t>Bars</t>
  </si>
  <si>
    <t>Banana</t>
  </si>
  <si>
    <t>Bran</t>
  </si>
  <si>
    <t>Carrot</t>
  </si>
  <si>
    <t>Cookies</t>
  </si>
  <si>
    <t>Chocolate Chip</t>
  </si>
  <si>
    <t>Oatmeal Raisin</t>
  </si>
  <si>
    <t>Snacks</t>
  </si>
  <si>
    <t>Potato Chips</t>
  </si>
  <si>
    <t>New York</t>
  </si>
  <si>
    <t>West</t>
  </si>
  <si>
    <t>Los Angeles</t>
  </si>
  <si>
    <t>San Diego</t>
  </si>
  <si>
    <t>Crackers</t>
  </si>
  <si>
    <t>Whole Wheat</t>
  </si>
  <si>
    <t>Pretzels</t>
  </si>
  <si>
    <t>Quantity</t>
  </si>
  <si>
    <t>UnitPrice</t>
  </si>
  <si>
    <t>Profit</t>
  </si>
  <si>
    <t>Row Labels</t>
  </si>
  <si>
    <t>Grand Total</t>
  </si>
  <si>
    <t>Jan</t>
  </si>
  <si>
    <t>Feb</t>
  </si>
  <si>
    <t>Mar</t>
  </si>
  <si>
    <t>Apr</t>
  </si>
  <si>
    <t>May</t>
  </si>
  <si>
    <t>Jun</t>
  </si>
  <si>
    <t>Jul</t>
  </si>
  <si>
    <t>Aug</t>
  </si>
  <si>
    <t>Sep</t>
  </si>
  <si>
    <t>Oct</t>
  </si>
  <si>
    <t>Nov</t>
  </si>
  <si>
    <t>Dec</t>
  </si>
  <si>
    <t>Sum of TotalPrice</t>
  </si>
  <si>
    <t>Column Labels</t>
  </si>
  <si>
    <t>Sum of Profit</t>
  </si>
  <si>
    <t>Profit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</si>
</sst>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quot;$&quot;#,##0"/>
  </numFmts>
  <fonts count="5" x14ac:knownFonts="1">
    <font>
      <sz val="11"/>
      <color theme="1"/>
      <name val="Calibri"/>
      <family val="2"/>
      <scheme val="minor"/>
    </font>
    <font>
      <u/>
      <sz val="11"/>
      <color indexed="12"/>
      <name val="Calibri"/>
      <family val="2"/>
      <scheme val="minor"/>
    </font>
    <font>
      <sz val="11"/>
      <name val="Calibri"/>
      <family val="2"/>
      <scheme val="minor"/>
    </font>
    <font>
      <sz val="11"/>
      <color theme="1"/>
      <name val="Calibri"/>
      <family val="2"/>
      <scheme val="minor"/>
    </font>
    <font>
      <sz val="20"/>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0" fontId="1" fillId="0" borderId="0" applyNumberFormat="0" applyFill="0" applyBorder="0" applyAlignment="0" applyProtection="0">
      <alignment horizontal="left" indent="1"/>
    </xf>
    <xf numFmtId="0" fontId="3" fillId="0" borderId="0"/>
    <xf numFmtId="9" fontId="3" fillId="0" borderId="0" applyFont="0" applyFill="0" applyBorder="0" applyAlignment="0" applyProtection="0"/>
  </cellStyleXfs>
  <cellXfs count="12">
    <xf numFmtId="0" fontId="0" fillId="0" borderId="0" xfId="0"/>
    <xf numFmtId="14" fontId="0" fillId="0" borderId="0" xfId="0" applyNumberFormat="1"/>
    <xf numFmtId="1"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NumberFormat="1"/>
    <xf numFmtId="0" fontId="2" fillId="2" borderId="0" xfId="0" applyFont="1" applyFill="1"/>
    <xf numFmtId="10" fontId="0" fillId="0" borderId="0" xfId="0" applyNumberFormat="1"/>
    <xf numFmtId="164" fontId="0" fillId="0" borderId="0" xfId="3" applyNumberFormat="1" applyFont="1"/>
    <xf numFmtId="165" fontId="0" fillId="0" borderId="0" xfId="0" applyNumberFormat="1"/>
    <xf numFmtId="0" fontId="4" fillId="2" borderId="0" xfId="0" applyFont="1" applyFill="1" applyAlignment="1">
      <alignment horizontal="center" vertical="center"/>
    </xf>
  </cellXfs>
  <cellStyles count="4">
    <cellStyle name="Ctx_Hyperlink" xfId="1"/>
    <cellStyle name="Normal" xfId="0" builtinId="0"/>
    <cellStyle name="Normal 4" xfId="2"/>
    <cellStyle name="Percent" xfId="3" builtinId="5"/>
  </cellStyles>
  <dxfs count="4">
    <dxf>
      <numFmt numFmtId="0" formatCode="General"/>
    </dxf>
    <dxf>
      <numFmt numFmtId="0" formatCode="General"/>
    </dxf>
    <dxf>
      <numFmt numFmtId="0" formatCode="General"/>
    </dxf>
    <dxf>
      <numFmt numFmtId="166" formatCode="mm/dd/yyyy"/>
    </dxf>
  </dxfs>
  <tableStyles count="0" defaultTableStyle="TableStyleMedium9" defaultPivotStyle="PivotStyleLight16"/>
  <colors>
    <mruColors>
      <color rgb="FFF5D477"/>
      <color rgb="FFA60AE4"/>
      <color rgb="FFC835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[Dashboard2.xlsm]Pie Chart!PivotTable2</c:name>
    <c:fmtId val="2"/>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1"/>
          </a:solidFill>
          <a:ln w="19050">
            <a:solidFill>
              <a:schemeClr val="lt1"/>
            </a:solidFill>
          </a:ln>
          <a:effectLst/>
        </c:spPr>
        <c:dLbl>
          <c:idx val="0"/>
          <c:layout>
            <c:manualLayout>
              <c:x val="7.4999999999999997E-2"/>
              <c:y val="-4.6296296296297144E-3"/>
            </c:manualLayout>
          </c:layou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dLbl>
          <c:idx val="0"/>
          <c:layout>
            <c:manualLayout>
              <c:x val="7.4999999999999997E-2"/>
              <c:y val="-4.629629629629714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chemeClr val="accent2"/>
          </a:solidFill>
          <a:ln w="19050">
            <a:solidFill>
              <a:schemeClr val="lt1"/>
            </a:solidFill>
          </a:ln>
          <a:effectLst/>
        </c:spPr>
        <c:dLbl>
          <c:idx val="0"/>
          <c:layout>
            <c:manualLayout>
              <c:x val="-8.7499890638670197E-2"/>
              <c:y val="-0.1504627806940799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12505555555555553"/>
                  <c:h val="0.12949074074074074"/>
                </c:manualLayout>
              </c15:layout>
            </c:ext>
          </c:extLst>
        </c:dLbl>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8"/>
        <c:spPr>
          <a:solidFill>
            <a:schemeClr val="accent1"/>
          </a:solidFill>
          <a:ln w="19050">
            <a:solidFill>
              <a:schemeClr val="lt1"/>
            </a:solidFill>
          </a:ln>
          <a:effectLst/>
        </c:spPr>
        <c:dLbl>
          <c:idx val="0"/>
          <c:layout>
            <c:manualLayout>
              <c:x val="7.4999999999999997E-2"/>
              <c:y val="-4.629629629629714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chemeClr val="accent1"/>
          </a:solidFill>
          <a:ln w="19050">
            <a:solidFill>
              <a:schemeClr val="lt1"/>
            </a:solidFill>
          </a:ln>
          <a:effectLst/>
        </c:spPr>
        <c:dLbl>
          <c:idx val="0"/>
          <c:layout>
            <c:manualLayout>
              <c:x val="-8.7499890638670197E-2"/>
              <c:y val="-0.1504627806940799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12505555555555553"/>
                  <c:h val="0.12949074074074074"/>
                </c:manualLayout>
              </c15:layout>
            </c:ext>
          </c:extLst>
        </c:dLbl>
      </c:pivotFmt>
      <c:pivotFmt>
        <c:idx val="10"/>
        <c:spPr>
          <a:solidFill>
            <a:schemeClr val="accent1"/>
          </a:solidFill>
          <a:ln w="19050">
            <a:solidFill>
              <a:schemeClr val="lt1"/>
            </a:solidFill>
          </a:ln>
          <a:effectLst/>
        </c:spPr>
        <c:marker>
          <c:symbol val="none"/>
        </c:marke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effectLst/>
        </c:spPr>
        <c:marker>
          <c:symbol val="none"/>
        </c:marker>
      </c:pivotFmt>
      <c:pivotFmt>
        <c:idx val="20"/>
        <c:spPr>
          <a:solidFill>
            <a:schemeClr val="accent1"/>
          </a:solidFill>
          <a:ln w="19050">
            <a:solidFill>
              <a:schemeClr val="lt1"/>
            </a:solidFill>
          </a:ln>
          <a:effectLst/>
        </c:spPr>
      </c:pivotFmt>
      <c:pivotFmt>
        <c:idx val="21"/>
        <c:spPr>
          <a:solidFill>
            <a:schemeClr val="accent2"/>
          </a:solidFill>
          <a:ln w="19050">
            <a:solidFill>
              <a:schemeClr val="lt1"/>
            </a:solidFill>
          </a:ln>
          <a:effectLst/>
        </c:spPr>
      </c:pivotFmt>
      <c:pivotFmt>
        <c:idx val="22"/>
        <c:spPr>
          <a:effectLst/>
        </c:spPr>
        <c:marker>
          <c:symbol val="none"/>
        </c:marker>
      </c:pivotFmt>
      <c:pivotFmt>
        <c:idx val="23"/>
        <c:spPr>
          <a:solidFill>
            <a:schemeClr val="accent1"/>
          </a:solidFill>
          <a:ln w="19050">
            <a:solidFill>
              <a:schemeClr val="lt1"/>
            </a:solidFill>
          </a:ln>
          <a:effectLst/>
        </c:spPr>
      </c:pivotFmt>
      <c:pivotFmt>
        <c:idx val="24"/>
        <c:spPr>
          <a:solidFill>
            <a:schemeClr val="accent2"/>
          </a:solidFill>
          <a:ln w="19050">
            <a:solidFill>
              <a:schemeClr val="lt1"/>
            </a:solidFill>
          </a:ln>
          <a:effectLst/>
        </c:spPr>
      </c:pivotFmt>
      <c:pivotFmt>
        <c:idx val="25"/>
        <c:spPr>
          <a:effectLst/>
        </c:spPr>
        <c:marker>
          <c:symbol val="none"/>
        </c:marker>
      </c:pivotFmt>
      <c:pivotFmt>
        <c:idx val="26"/>
        <c:spPr>
          <a:solidFill>
            <a:schemeClr val="accent1"/>
          </a:solidFill>
          <a:ln w="19050">
            <a:solidFill>
              <a:schemeClr val="lt1"/>
            </a:solidFill>
          </a:ln>
          <a:effectLst/>
        </c:spPr>
      </c:pivotFmt>
      <c:pivotFmt>
        <c:idx val="27"/>
        <c:spPr>
          <a:solidFill>
            <a:schemeClr val="accent2"/>
          </a:solidFill>
          <a:ln w="19050">
            <a:solidFill>
              <a:schemeClr val="lt1"/>
            </a:solidFill>
          </a:ln>
          <a:effectLst/>
        </c:spPr>
      </c:pivotFmt>
      <c:pivotFmt>
        <c:idx val="28"/>
        <c:spPr>
          <a:effectLst/>
        </c:spPr>
        <c:marker>
          <c:symbol val="none"/>
        </c:marker>
      </c:pivotFmt>
      <c:pivotFmt>
        <c:idx val="29"/>
        <c:spPr>
          <a:solidFill>
            <a:schemeClr val="accent1"/>
          </a:solidFill>
          <a:ln w="19050">
            <a:solidFill>
              <a:schemeClr val="lt1"/>
            </a:solidFill>
          </a:ln>
          <a:effectLst/>
        </c:spPr>
      </c:pivotFmt>
      <c:pivotFmt>
        <c:idx val="30"/>
        <c:spPr>
          <a:solidFill>
            <a:schemeClr val="accent2"/>
          </a:solidFill>
          <a:ln w="19050">
            <a:solidFill>
              <a:schemeClr val="lt1"/>
            </a:solidFill>
          </a:ln>
          <a:effectLst/>
        </c:spPr>
      </c:pivotFmt>
      <c:pivotFmt>
        <c:idx val="31"/>
        <c:spPr>
          <a:effectLst/>
        </c:spPr>
        <c:marker>
          <c:symbol val="none"/>
        </c:marker>
      </c:pivotFmt>
      <c:pivotFmt>
        <c:idx val="32"/>
        <c:spPr>
          <a:solidFill>
            <a:schemeClr val="accent1"/>
          </a:solidFill>
          <a:ln w="19050">
            <a:solidFill>
              <a:schemeClr val="lt1"/>
            </a:solidFill>
          </a:ln>
          <a:effectLst/>
        </c:spPr>
      </c:pivotFmt>
      <c:pivotFmt>
        <c:idx val="33"/>
        <c:spPr>
          <a:solidFill>
            <a:schemeClr val="accent2"/>
          </a:solidFill>
          <a:ln w="19050">
            <a:solidFill>
              <a:schemeClr val="lt1"/>
            </a:solidFill>
          </a:ln>
          <a:effectLst/>
        </c:spPr>
      </c:pivotFmt>
      <c:pivotFmt>
        <c:idx val="34"/>
        <c:spPr>
          <a:effectLst/>
        </c:spPr>
        <c:marker>
          <c:symbol val="none"/>
        </c:marker>
      </c:pivotFmt>
      <c:pivotFmt>
        <c:idx val="35"/>
        <c:spPr>
          <a:solidFill>
            <a:schemeClr val="accent1"/>
          </a:solidFill>
          <a:ln w="19050">
            <a:solidFill>
              <a:schemeClr val="lt1"/>
            </a:solidFill>
          </a:ln>
          <a:effectLst/>
        </c:spPr>
      </c:pivotFmt>
      <c:pivotFmt>
        <c:idx val="36"/>
        <c:spPr>
          <a:solidFill>
            <a:schemeClr val="accent2"/>
          </a:solidFill>
          <a:ln w="19050">
            <a:solidFill>
              <a:schemeClr val="lt1"/>
            </a:solidFill>
          </a:ln>
          <a:effectLst/>
        </c:spPr>
      </c:pivotFmt>
      <c:pivotFmt>
        <c:idx val="37"/>
        <c:spPr>
          <a:effectLst/>
        </c:spPr>
        <c:marker>
          <c:symbol val="none"/>
        </c:marker>
      </c:pivotFmt>
      <c:pivotFmt>
        <c:idx val="38"/>
        <c:spPr>
          <a:noFill/>
          <a:ln w="19050">
            <a:solidFill>
              <a:schemeClr val="lt1"/>
            </a:solidFill>
          </a:ln>
          <a:effectLst/>
        </c:spPr>
      </c:pivotFmt>
      <c:pivotFmt>
        <c:idx val="39"/>
        <c:spPr>
          <a:solidFill>
            <a:schemeClr val="accent3">
              <a:lumMod val="60000"/>
              <a:lumOff val="40000"/>
            </a:schemeClr>
          </a:solidFill>
          <a:ln w="88900" cap="flat">
            <a:solidFill>
              <a:schemeClr val="accent3">
                <a:lumMod val="60000"/>
                <a:lumOff val="40000"/>
              </a:schemeClr>
            </a:solidFill>
            <a:round/>
          </a:ln>
          <a:effectLst/>
        </c:spPr>
      </c:pivotFmt>
    </c:pivotFmts>
    <c:plotArea>
      <c:layout>
        <c:manualLayout>
          <c:layoutTarget val="inner"/>
          <c:xMode val="edge"/>
          <c:yMode val="edge"/>
          <c:x val="6.5865884411507383E-2"/>
          <c:y val="5.7388451443569556E-2"/>
          <c:w val="0.87963818281104122"/>
          <c:h val="0.94975426984670397"/>
        </c:manualLayout>
      </c:layout>
      <c:doughnutChart>
        <c:varyColors val="1"/>
        <c:ser>
          <c:idx val="0"/>
          <c:order val="0"/>
          <c:tx>
            <c:strRef>
              <c:f>'Pie Chart'!$B$3</c:f>
              <c:strCache>
                <c:ptCount val="1"/>
                <c:pt idx="0">
                  <c:v>Total</c:v>
                </c:pt>
              </c:strCache>
            </c:strRef>
          </c:tx>
          <c:spPr>
            <a:effectLst/>
          </c:spPr>
          <c:dPt>
            <c:idx val="0"/>
            <c:bubble3D val="0"/>
            <c:spPr>
              <a:noFill/>
              <a:ln w="19050">
                <a:solidFill>
                  <a:schemeClr val="lt1"/>
                </a:solidFill>
              </a:ln>
              <a:effectLst/>
            </c:spPr>
            <c:extLst>
              <c:ext xmlns:c16="http://schemas.microsoft.com/office/drawing/2014/chart" uri="{C3380CC4-5D6E-409C-BE32-E72D297353CC}">
                <c16:uniqueId val="{00000013-648F-44FD-B2EA-DD4C508151FC}"/>
              </c:ext>
            </c:extLst>
          </c:dPt>
          <c:dPt>
            <c:idx val="1"/>
            <c:bubble3D val="0"/>
            <c:spPr>
              <a:solidFill>
                <a:schemeClr val="accent3">
                  <a:lumMod val="60000"/>
                  <a:lumOff val="40000"/>
                </a:schemeClr>
              </a:solidFill>
              <a:ln w="88900" cap="flat">
                <a:solidFill>
                  <a:schemeClr val="accent3">
                    <a:lumMod val="60000"/>
                    <a:lumOff val="40000"/>
                  </a:schemeClr>
                </a:solidFill>
                <a:round/>
              </a:ln>
              <a:effectLst/>
            </c:spPr>
            <c:extLst>
              <c:ext xmlns:c16="http://schemas.microsoft.com/office/drawing/2014/chart" uri="{C3380CC4-5D6E-409C-BE32-E72D297353CC}">
                <c16:uniqueId val="{00000015-648F-44FD-B2EA-DD4C508151FC}"/>
              </c:ext>
            </c:extLst>
          </c:dPt>
          <c:dLbls>
            <c:delete val="1"/>
          </c:dLbls>
          <c:cat>
            <c:strRef>
              <c:f>'Pie Chart'!$A$4:$A$6</c:f>
              <c:strCache>
                <c:ptCount val="2"/>
                <c:pt idx="0">
                  <c:v>West</c:v>
                </c:pt>
                <c:pt idx="1">
                  <c:v>East</c:v>
                </c:pt>
              </c:strCache>
            </c:strRef>
          </c:cat>
          <c:val>
            <c:numRef>
              <c:f>'Pie Chart'!$B$4:$B$6</c:f>
              <c:numCache>
                <c:formatCode>0.00%</c:formatCode>
                <c:ptCount val="2"/>
                <c:pt idx="0">
                  <c:v>0.32642620406411604</c:v>
                </c:pt>
                <c:pt idx="1">
                  <c:v>0.67357379593588396</c:v>
                </c:pt>
              </c:numCache>
            </c:numRef>
          </c:val>
          <c:extLst>
            <c:ext xmlns:c16="http://schemas.microsoft.com/office/drawing/2014/chart" uri="{C3380CC4-5D6E-409C-BE32-E72D297353CC}">
              <c16:uniqueId val="{00000016-648F-44FD-B2EA-DD4C508151FC}"/>
            </c:ext>
          </c:extLst>
        </c:ser>
        <c:dLbls>
          <c:showLegendKey val="0"/>
          <c:showVal val="1"/>
          <c:showCatName val="0"/>
          <c:showSerName val="0"/>
          <c:showPercent val="0"/>
          <c:showBubbleSize val="0"/>
          <c:showLeaderLines val="1"/>
        </c:dLbls>
        <c:firstSliceAng val="0"/>
        <c:holeSize val="75"/>
      </c:doughnutChart>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[Dashboard2.xlsm]Pie Chart!PivotTable1</c:name>
    <c:fmtId val="15"/>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noFill/>
          <a:ln w="19050">
            <a:solidFill>
              <a:schemeClr val="lt1"/>
            </a:solidFill>
          </a:ln>
          <a:effectLst/>
        </c:spPr>
      </c:pivotFmt>
      <c:pivotFmt>
        <c:idx val="6"/>
        <c:spPr>
          <a:solidFill>
            <a:schemeClr val="accent6">
              <a:lumMod val="60000"/>
              <a:lumOff val="40000"/>
            </a:schemeClr>
          </a:solidFill>
          <a:ln w="88900">
            <a:solidFill>
              <a:schemeClr val="accent6">
                <a:lumMod val="60000"/>
                <a:lumOff val="40000"/>
              </a:schemeClr>
            </a:solidFill>
          </a:ln>
          <a:effectLst/>
        </c:spPr>
      </c:pivotFmt>
    </c:pivotFmts>
    <c:plotArea>
      <c:layout>
        <c:manualLayout>
          <c:layoutTarget val="inner"/>
          <c:xMode val="edge"/>
          <c:yMode val="edge"/>
          <c:x val="4.9825610363726958E-2"/>
          <c:y val="3.0727630285152407E-2"/>
          <c:w val="0.93771798704534126"/>
          <c:h val="0.92527040314650932"/>
        </c:manualLayout>
      </c:layout>
      <c:doughnutChart>
        <c:varyColors val="1"/>
        <c:ser>
          <c:idx val="0"/>
          <c:order val="0"/>
          <c:tx>
            <c:strRef>
              <c:f>'Pie Chart'!$E$3</c:f>
              <c:strCache>
                <c:ptCount val="1"/>
                <c:pt idx="0">
                  <c:v>Total</c:v>
                </c:pt>
              </c:strCache>
            </c:strRef>
          </c:tx>
          <c:dPt>
            <c:idx val="0"/>
            <c:bubble3D val="0"/>
            <c:spPr>
              <a:noFill/>
              <a:ln w="19050">
                <a:solidFill>
                  <a:schemeClr val="lt1"/>
                </a:solidFill>
              </a:ln>
              <a:effectLst/>
            </c:spPr>
            <c:extLst>
              <c:ext xmlns:c16="http://schemas.microsoft.com/office/drawing/2014/chart" uri="{C3380CC4-5D6E-409C-BE32-E72D297353CC}">
                <c16:uniqueId val="{00000001-36B5-4425-9D08-4D7258178BF7}"/>
              </c:ext>
            </c:extLst>
          </c:dPt>
          <c:dPt>
            <c:idx val="1"/>
            <c:bubble3D val="0"/>
            <c:spPr>
              <a:solidFill>
                <a:schemeClr val="accent6">
                  <a:lumMod val="60000"/>
                  <a:lumOff val="40000"/>
                </a:schemeClr>
              </a:solidFill>
              <a:ln w="88900">
                <a:solidFill>
                  <a:schemeClr val="accent6">
                    <a:lumMod val="60000"/>
                    <a:lumOff val="40000"/>
                  </a:schemeClr>
                </a:solidFill>
              </a:ln>
              <a:effectLst/>
            </c:spPr>
            <c:extLst>
              <c:ext xmlns:c16="http://schemas.microsoft.com/office/drawing/2014/chart" uri="{C3380CC4-5D6E-409C-BE32-E72D297353CC}">
                <c16:uniqueId val="{00000003-36B5-4425-9D08-4D7258178BF7}"/>
              </c:ext>
            </c:extLst>
          </c:dPt>
          <c:cat>
            <c:strRef>
              <c:f>'Pie Chart'!$D$4:$D$6</c:f>
              <c:strCache>
                <c:ptCount val="2"/>
                <c:pt idx="0">
                  <c:v>East</c:v>
                </c:pt>
                <c:pt idx="1">
                  <c:v>West</c:v>
                </c:pt>
              </c:strCache>
            </c:strRef>
          </c:cat>
          <c:val>
            <c:numRef>
              <c:f>'Pie Chart'!$E$4:$E$6</c:f>
              <c:numCache>
                <c:formatCode>0.00%</c:formatCode>
                <c:ptCount val="2"/>
                <c:pt idx="0">
                  <c:v>0.67357379593588396</c:v>
                </c:pt>
                <c:pt idx="1">
                  <c:v>0.32642620406411604</c:v>
                </c:pt>
              </c:numCache>
            </c:numRef>
          </c:val>
          <c:extLst>
            <c:ext xmlns:c16="http://schemas.microsoft.com/office/drawing/2014/chart" uri="{C3380CC4-5D6E-409C-BE32-E72D297353CC}">
              <c16:uniqueId val="{00000004-36B5-4425-9D08-4D7258178BF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[Dashboard2.xlsm]Product!PivotTable1</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Product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6">
              <a:lumMod val="60000"/>
              <a:lumOff val="4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accent3">
              <a:lumMod val="75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Product!$B$3:$B$4</c:f>
              <c:strCache>
                <c:ptCount val="1"/>
                <c:pt idx="0">
                  <c:v>East</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Product!$A$5:$A$14</c:f>
              <c:strCache>
                <c:ptCount val="9"/>
                <c:pt idx="0">
                  <c:v>Arrowroot</c:v>
                </c:pt>
                <c:pt idx="1">
                  <c:v>Banana</c:v>
                </c:pt>
                <c:pt idx="2">
                  <c:v>Bran</c:v>
                </c:pt>
                <c:pt idx="3">
                  <c:v>Carrot</c:v>
                </c:pt>
                <c:pt idx="4">
                  <c:v>Chocolate Chip</c:v>
                </c:pt>
                <c:pt idx="5">
                  <c:v>Oatmeal Raisin</c:v>
                </c:pt>
                <c:pt idx="6">
                  <c:v>Potato Chips</c:v>
                </c:pt>
                <c:pt idx="7">
                  <c:v>Pretzels</c:v>
                </c:pt>
                <c:pt idx="8">
                  <c:v>Whole Wheat</c:v>
                </c:pt>
              </c:strCache>
            </c:strRef>
          </c:cat>
          <c:val>
            <c:numRef>
              <c:f>Product!$B$5:$B$14</c:f>
              <c:numCache>
                <c:formatCode>0</c:formatCode>
                <c:ptCount val="9"/>
                <c:pt idx="0">
                  <c:v>1951.1</c:v>
                </c:pt>
                <c:pt idx="1">
                  <c:v>68.099999999999994</c:v>
                </c:pt>
                <c:pt idx="2">
                  <c:v>1097.69</c:v>
                </c:pt>
                <c:pt idx="3">
                  <c:v>2667.3900000000008</c:v>
                </c:pt>
                <c:pt idx="4">
                  <c:v>914.42999999999984</c:v>
                </c:pt>
                <c:pt idx="5">
                  <c:v>2467.96</c:v>
                </c:pt>
                <c:pt idx="6">
                  <c:v>603.45000000000005</c:v>
                </c:pt>
                <c:pt idx="7">
                  <c:v>85.05</c:v>
                </c:pt>
                <c:pt idx="8">
                  <c:v>2261.5200000000004</c:v>
                </c:pt>
              </c:numCache>
            </c:numRef>
          </c:val>
          <c:extLst>
            <c:ext xmlns:c16="http://schemas.microsoft.com/office/drawing/2014/chart" uri="{C3380CC4-5D6E-409C-BE32-E72D297353CC}">
              <c16:uniqueId val="{00000000-9583-4B94-A5E1-E39E377485A1}"/>
            </c:ext>
          </c:extLst>
        </c:ser>
        <c:ser>
          <c:idx val="1"/>
          <c:order val="1"/>
          <c:tx>
            <c:strRef>
              <c:f>Product!$C$3:$C$4</c:f>
              <c:strCache>
                <c:ptCount val="1"/>
                <c:pt idx="0">
                  <c:v>West</c:v>
                </c:pt>
              </c:strCache>
            </c:strRef>
          </c:tx>
          <c:spPr>
            <a:solidFill>
              <a:schemeClr val="accent3">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Product!$A$5:$A$14</c:f>
              <c:strCache>
                <c:ptCount val="9"/>
                <c:pt idx="0">
                  <c:v>Arrowroot</c:v>
                </c:pt>
                <c:pt idx="1">
                  <c:v>Banana</c:v>
                </c:pt>
                <c:pt idx="2">
                  <c:v>Bran</c:v>
                </c:pt>
                <c:pt idx="3">
                  <c:v>Carrot</c:v>
                </c:pt>
                <c:pt idx="4">
                  <c:v>Chocolate Chip</c:v>
                </c:pt>
                <c:pt idx="5">
                  <c:v>Oatmeal Raisin</c:v>
                </c:pt>
                <c:pt idx="6">
                  <c:v>Potato Chips</c:v>
                </c:pt>
                <c:pt idx="7">
                  <c:v>Pretzels</c:v>
                </c:pt>
                <c:pt idx="8">
                  <c:v>Whole Wheat</c:v>
                </c:pt>
              </c:strCache>
            </c:strRef>
          </c:cat>
          <c:val>
            <c:numRef>
              <c:f>Product!$C$5:$C$14</c:f>
              <c:numCache>
                <c:formatCode>0</c:formatCode>
                <c:ptCount val="9"/>
                <c:pt idx="0">
                  <c:v>708.5</c:v>
                </c:pt>
                <c:pt idx="2">
                  <c:v>235.62000000000003</c:v>
                </c:pt>
                <c:pt idx="3">
                  <c:v>1679.73</c:v>
                </c:pt>
                <c:pt idx="4">
                  <c:v>1183.71</c:v>
                </c:pt>
                <c:pt idx="5">
                  <c:v>1170.0799999999997</c:v>
                </c:pt>
                <c:pt idx="6">
                  <c:v>653.52</c:v>
                </c:pt>
                <c:pt idx="8">
                  <c:v>240.81</c:v>
                </c:pt>
              </c:numCache>
            </c:numRef>
          </c:val>
          <c:extLst>
            <c:ext xmlns:c16="http://schemas.microsoft.com/office/drawing/2014/chart" uri="{C3380CC4-5D6E-409C-BE32-E72D297353CC}">
              <c16:uniqueId val="{00000001-73DE-4B40-A783-649C6D595145}"/>
            </c:ext>
          </c:extLst>
        </c:ser>
        <c:dLbls>
          <c:dLblPos val="outEnd"/>
          <c:showLegendKey val="0"/>
          <c:showVal val="1"/>
          <c:showCatName val="0"/>
          <c:showSerName val="0"/>
          <c:showPercent val="0"/>
          <c:showBubbleSize val="0"/>
        </c:dLbls>
        <c:gapWidth val="182"/>
        <c:axId val="1962858688"/>
        <c:axId val="1962854944"/>
      </c:barChart>
      <c:catAx>
        <c:axId val="1962858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2854944"/>
        <c:crosses val="autoZero"/>
        <c:auto val="1"/>
        <c:lblAlgn val="ctr"/>
        <c:lblOffset val="100"/>
        <c:noMultiLvlLbl val="0"/>
      </c:catAx>
      <c:valAx>
        <c:axId val="196285494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2858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[Dashboard2.xlsm]Category!PivotTable2</c:name>
    <c:fmtId val="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pivotFmt>
      <c:pivotFmt>
        <c:idx val="1"/>
        <c:spPr>
          <a:solidFill>
            <a:schemeClr val="accent3"/>
          </a:solidFill>
          <a:ln>
            <a:noFill/>
          </a:ln>
          <a:effectLst/>
        </c:spPr>
        <c:marker>
          <c:symbol val="none"/>
        </c:marker>
      </c:pivotFmt>
      <c:pivotFmt>
        <c:idx val="2"/>
        <c:spPr>
          <a:solidFill>
            <a:schemeClr val="accent3"/>
          </a:solidFill>
          <a:ln>
            <a:noFill/>
          </a:ln>
          <a:effectLst/>
        </c:spPr>
        <c:marker>
          <c:symbol val="none"/>
        </c:marker>
      </c:pivotFmt>
      <c:pivotFmt>
        <c:idx val="3"/>
        <c:spPr>
          <a:solidFill>
            <a:schemeClr val="accent3"/>
          </a:solidFill>
          <a:ln>
            <a:noFill/>
          </a:ln>
          <a:effectLst/>
        </c:spPr>
        <c:marker>
          <c:symbol val="none"/>
        </c:marker>
      </c:pivotFmt>
      <c:pivotFmt>
        <c:idx val="4"/>
        <c:spPr>
          <a:solidFill>
            <a:schemeClr val="accent3"/>
          </a:solidFill>
          <a:ln>
            <a:noFill/>
          </a:ln>
          <a:effectLst/>
        </c:spPr>
        <c:marker>
          <c:symbol val="none"/>
        </c:marker>
      </c:pivotFmt>
      <c:pivotFmt>
        <c:idx val="5"/>
        <c:spPr>
          <a:solidFill>
            <a:schemeClr val="accent3"/>
          </a:solidFill>
          <a:ln>
            <a:noFill/>
          </a:ln>
          <a:effectLst/>
        </c:spPr>
        <c:marker>
          <c:symbol val="none"/>
        </c:marker>
      </c:pivotFmt>
      <c:pivotFmt>
        <c:idx val="6"/>
        <c:spPr>
          <a:solidFill>
            <a:schemeClr val="accent3"/>
          </a:solidFill>
          <a:ln>
            <a:noFill/>
          </a:ln>
          <a:effectLst/>
        </c:spPr>
        <c:marker>
          <c:symbol val="none"/>
        </c:marker>
      </c:pivotFmt>
      <c:pivotFmt>
        <c:idx val="7"/>
        <c:spPr>
          <a:solidFill>
            <a:schemeClr val="accent3"/>
          </a:solidFill>
          <a:ln>
            <a:noFill/>
          </a:ln>
          <a:effectLst/>
        </c:spPr>
        <c:marker>
          <c:symbol val="none"/>
        </c:marker>
      </c:pivotFmt>
      <c:pivotFmt>
        <c:idx val="8"/>
        <c:spPr>
          <a:solidFill>
            <a:schemeClr val="accent3"/>
          </a:solidFill>
          <a:ln>
            <a:noFill/>
          </a:ln>
          <a:effectLst/>
        </c:spPr>
        <c:marker>
          <c:symbol val="none"/>
        </c:marker>
      </c:pivotFmt>
      <c:pivotFmt>
        <c:idx val="9"/>
        <c:spPr>
          <a:solidFill>
            <a:schemeClr val="accent3"/>
          </a:solidFill>
          <a:ln>
            <a:noFill/>
          </a:ln>
          <a:effectLst/>
        </c:spPr>
        <c:marker>
          <c:symbol val="none"/>
        </c:marker>
      </c:pivotFmt>
      <c:pivotFmt>
        <c:idx val="10"/>
        <c:spPr>
          <a:solidFill>
            <a:schemeClr val="accent3"/>
          </a:solidFill>
          <a:ln>
            <a:noFill/>
          </a:ln>
          <a:effectLst/>
        </c:spPr>
        <c:marker>
          <c:symbol val="none"/>
        </c:marker>
      </c:pivotFmt>
      <c:pivotFmt>
        <c:idx val="11"/>
        <c:spPr>
          <a:solidFill>
            <a:schemeClr val="accent3"/>
          </a:solidFill>
          <a:ln>
            <a:noFill/>
          </a:ln>
          <a:effectLst/>
        </c:spPr>
        <c:marker>
          <c:symbol val="none"/>
        </c:marker>
      </c:pivotFmt>
      <c:pivotFmt>
        <c:idx val="12"/>
        <c:spPr>
          <a:solidFill>
            <a:schemeClr val="accent3"/>
          </a:solidFill>
          <a:ln>
            <a:noFill/>
          </a:ln>
          <a:effectLst/>
        </c:spPr>
        <c:marker>
          <c:symbol val="none"/>
        </c:marker>
      </c:pivotFmt>
      <c:pivotFmt>
        <c:idx val="13"/>
        <c:spPr>
          <a:solidFill>
            <a:schemeClr val="accent3"/>
          </a:solidFill>
          <a:ln>
            <a:noFill/>
          </a:ln>
          <a:effectLst/>
        </c:spPr>
        <c:marker>
          <c:symbol val="none"/>
        </c:marker>
      </c:pivotFmt>
      <c:pivotFmt>
        <c:idx val="14"/>
        <c:spPr>
          <a:solidFill>
            <a:schemeClr val="accent3"/>
          </a:solidFill>
          <a:ln>
            <a:noFill/>
          </a:ln>
          <a:effectLst/>
        </c:spPr>
        <c:marker>
          <c:symbol val="none"/>
        </c:marker>
      </c:pivotFmt>
      <c:pivotFmt>
        <c:idx val="15"/>
        <c:spPr>
          <a:solidFill>
            <a:schemeClr val="accent3"/>
          </a:solidFill>
          <a:ln>
            <a:noFill/>
          </a:ln>
          <a:effectLst/>
        </c:spPr>
        <c:marker>
          <c:symbol val="none"/>
        </c:marker>
      </c:pivotFmt>
      <c:pivotFmt>
        <c:idx val="16"/>
        <c:spPr>
          <a:solidFill>
            <a:schemeClr val="accent3"/>
          </a:solidFill>
          <a:ln>
            <a:noFill/>
          </a:ln>
          <a:effectLst/>
        </c:spPr>
        <c:marker>
          <c:symbol val="none"/>
        </c:marker>
      </c:pivotFmt>
      <c:pivotFmt>
        <c:idx val="17"/>
        <c:spPr>
          <a:solidFill>
            <a:schemeClr val="accent3"/>
          </a:solidFill>
          <a:ln>
            <a:noFill/>
          </a:ln>
          <a:effectLst/>
        </c:spPr>
        <c:marker>
          <c:symbol val="none"/>
        </c:marker>
      </c:pivotFmt>
      <c:pivotFmt>
        <c:idx val="18"/>
        <c:spPr>
          <a:solidFill>
            <a:schemeClr val="accent3"/>
          </a:solidFill>
          <a:ln>
            <a:noFill/>
          </a:ln>
          <a:effectLst/>
        </c:spPr>
        <c:marker>
          <c:symbol val="none"/>
        </c:marker>
      </c:pivotFmt>
      <c:pivotFmt>
        <c:idx val="19"/>
        <c:spPr>
          <a:solidFill>
            <a:schemeClr val="accent3"/>
          </a:solidFill>
          <a:ln>
            <a:noFill/>
          </a:ln>
          <a:effectLst/>
        </c:spPr>
        <c:marker>
          <c:symbol val="none"/>
        </c:marker>
      </c:pivotFmt>
      <c:pivotFmt>
        <c:idx val="20"/>
        <c:spPr>
          <a:solidFill>
            <a:schemeClr val="accent3"/>
          </a:solidFill>
          <a:ln>
            <a:noFill/>
          </a:ln>
          <a:effectLst/>
        </c:spPr>
        <c:marker>
          <c:symbol val="none"/>
        </c:marker>
      </c:pivotFmt>
      <c:pivotFmt>
        <c:idx val="21"/>
        <c:spPr>
          <a:solidFill>
            <a:schemeClr val="accent3"/>
          </a:solidFill>
          <a:ln>
            <a:noFill/>
          </a:ln>
          <a:effectLst/>
        </c:spPr>
        <c:marker>
          <c:symbol val="none"/>
        </c:marker>
      </c:pivotFmt>
      <c:pivotFmt>
        <c:idx val="22"/>
        <c:spPr>
          <a:solidFill>
            <a:schemeClr val="accent3"/>
          </a:solidFill>
          <a:ln>
            <a:noFill/>
          </a:ln>
          <a:effectLst/>
        </c:spPr>
        <c:marker>
          <c:symbol val="none"/>
        </c:marker>
      </c:pivotFmt>
      <c:pivotFmt>
        <c:idx val="23"/>
        <c:spPr>
          <a:solidFill>
            <a:schemeClr val="accent3"/>
          </a:solidFill>
          <a:ln>
            <a:noFill/>
          </a:ln>
          <a:effectLst/>
        </c:spPr>
        <c:marker>
          <c:symbol val="none"/>
        </c:marker>
      </c:pivotFmt>
      <c:pivotFmt>
        <c:idx val="24"/>
      </c:pivotFmt>
      <c:pivotFmt>
        <c:idx val="25"/>
      </c:pivotFmt>
      <c:pivotFmt>
        <c:idx val="26"/>
      </c:pivotFmt>
      <c:pivotFmt>
        <c:idx val="27"/>
      </c:pivotFmt>
      <c:pivotFmt>
        <c:idx val="28"/>
        <c:spPr>
          <a:solidFill>
            <a:schemeClr val="accent3"/>
          </a:solidFill>
          <a:ln>
            <a:noFill/>
          </a:ln>
          <a:effectLst/>
        </c:spPr>
        <c:marker>
          <c:symbol val="none"/>
        </c:marker>
      </c:pivotFmt>
      <c:pivotFmt>
        <c:idx val="29"/>
        <c:spPr>
          <a:solidFill>
            <a:schemeClr val="accent3"/>
          </a:solidFill>
          <a:ln>
            <a:noFill/>
          </a:ln>
          <a:effectLst/>
        </c:spPr>
        <c:marker>
          <c:symbol val="none"/>
        </c:marker>
      </c:pivotFmt>
      <c:pivotFmt>
        <c:idx val="30"/>
        <c:spPr>
          <a:solidFill>
            <a:schemeClr val="accent3"/>
          </a:solidFill>
          <a:ln>
            <a:noFill/>
          </a:ln>
          <a:effectLst/>
        </c:spPr>
        <c:marker>
          <c:symbol val="none"/>
        </c:marker>
      </c:pivotFmt>
      <c:pivotFmt>
        <c:idx val="31"/>
        <c:spPr>
          <a:solidFill>
            <a:schemeClr val="accent3"/>
          </a:solidFill>
          <a:ln>
            <a:noFill/>
          </a:ln>
          <a:effectLst/>
        </c:spPr>
        <c:marker>
          <c:symbol val="none"/>
        </c:marker>
      </c:pivotFmt>
    </c:pivotFmts>
    <c:plotArea>
      <c:layout/>
      <c:barChart>
        <c:barDir val="bar"/>
        <c:grouping val="stacked"/>
        <c:varyColors val="0"/>
        <c:ser>
          <c:idx val="0"/>
          <c:order val="0"/>
          <c:tx>
            <c:strRef>
              <c:f>Category!$B$3:$B$4</c:f>
              <c:strCache>
                <c:ptCount val="1"/>
                <c:pt idx="0">
                  <c:v>Boston</c:v>
                </c:pt>
              </c:strCache>
            </c:strRef>
          </c:tx>
          <c:spPr>
            <a:solidFill>
              <a:schemeClr val="accent3">
                <a:shade val="58000"/>
              </a:schemeClr>
            </a:solidFill>
            <a:ln>
              <a:noFill/>
            </a:ln>
            <a:effectLst/>
          </c:spPr>
          <c:invertIfNegative val="0"/>
          <c:cat>
            <c:strRef>
              <c:f>Category!$A$5:$A$9</c:f>
              <c:strCache>
                <c:ptCount val="4"/>
                <c:pt idx="0">
                  <c:v>Snacks</c:v>
                </c:pt>
                <c:pt idx="1">
                  <c:v>Crackers</c:v>
                </c:pt>
                <c:pt idx="2">
                  <c:v>Bars</c:v>
                </c:pt>
                <c:pt idx="3">
                  <c:v>Cookies</c:v>
                </c:pt>
              </c:strCache>
            </c:strRef>
          </c:cat>
          <c:val>
            <c:numRef>
              <c:f>Category!$B$5:$B$9</c:f>
              <c:numCache>
                <c:formatCode>0</c:formatCode>
                <c:ptCount val="4"/>
                <c:pt idx="0">
                  <c:v>310.17</c:v>
                </c:pt>
                <c:pt idx="1">
                  <c:v>1964.8699999999997</c:v>
                </c:pt>
                <c:pt idx="2">
                  <c:v>2090.58</c:v>
                </c:pt>
                <c:pt idx="3">
                  <c:v>2877.16</c:v>
                </c:pt>
              </c:numCache>
            </c:numRef>
          </c:val>
          <c:extLst>
            <c:ext xmlns:c16="http://schemas.microsoft.com/office/drawing/2014/chart" uri="{C3380CC4-5D6E-409C-BE32-E72D297353CC}">
              <c16:uniqueId val="{00000000-F2FF-4EB5-B01E-5FFC9F94FEC5}"/>
            </c:ext>
          </c:extLst>
        </c:ser>
        <c:ser>
          <c:idx val="1"/>
          <c:order val="1"/>
          <c:tx>
            <c:strRef>
              <c:f>Category!$C$3:$C$4</c:f>
              <c:strCache>
                <c:ptCount val="1"/>
                <c:pt idx="0">
                  <c:v>Los Angeles</c:v>
                </c:pt>
              </c:strCache>
            </c:strRef>
          </c:tx>
          <c:spPr>
            <a:solidFill>
              <a:schemeClr val="accent3">
                <a:shade val="86000"/>
              </a:schemeClr>
            </a:solidFill>
            <a:ln>
              <a:noFill/>
            </a:ln>
            <a:effectLst/>
          </c:spPr>
          <c:invertIfNegative val="0"/>
          <c:cat>
            <c:strRef>
              <c:f>Category!$A$5:$A$9</c:f>
              <c:strCache>
                <c:ptCount val="4"/>
                <c:pt idx="0">
                  <c:v>Snacks</c:v>
                </c:pt>
                <c:pt idx="1">
                  <c:v>Crackers</c:v>
                </c:pt>
                <c:pt idx="2">
                  <c:v>Bars</c:v>
                </c:pt>
                <c:pt idx="3">
                  <c:v>Cookies</c:v>
                </c:pt>
              </c:strCache>
            </c:strRef>
          </c:cat>
          <c:val>
            <c:numRef>
              <c:f>Category!$C$5:$C$9</c:f>
              <c:numCache>
                <c:formatCode>0</c:formatCode>
                <c:ptCount val="4"/>
                <c:pt idx="0">
                  <c:v>554.40000000000009</c:v>
                </c:pt>
                <c:pt idx="1">
                  <c:v>73.290000000000006</c:v>
                </c:pt>
                <c:pt idx="2">
                  <c:v>1476.8399999999997</c:v>
                </c:pt>
                <c:pt idx="3">
                  <c:v>1670.86</c:v>
                </c:pt>
              </c:numCache>
            </c:numRef>
          </c:val>
          <c:extLst>
            <c:ext xmlns:c16="http://schemas.microsoft.com/office/drawing/2014/chart" uri="{C3380CC4-5D6E-409C-BE32-E72D297353CC}">
              <c16:uniqueId val="{00000003-736C-4120-BB59-109BA6B88C7B}"/>
            </c:ext>
          </c:extLst>
        </c:ser>
        <c:ser>
          <c:idx val="2"/>
          <c:order val="2"/>
          <c:tx>
            <c:strRef>
              <c:f>Category!$D$3:$D$4</c:f>
              <c:strCache>
                <c:ptCount val="1"/>
                <c:pt idx="0">
                  <c:v>New York</c:v>
                </c:pt>
              </c:strCache>
            </c:strRef>
          </c:tx>
          <c:spPr>
            <a:solidFill>
              <a:schemeClr val="accent3">
                <a:tint val="86000"/>
              </a:schemeClr>
            </a:solidFill>
            <a:ln>
              <a:noFill/>
            </a:ln>
            <a:effectLst/>
          </c:spPr>
          <c:invertIfNegative val="0"/>
          <c:cat>
            <c:strRef>
              <c:f>Category!$A$5:$A$9</c:f>
              <c:strCache>
                <c:ptCount val="4"/>
                <c:pt idx="0">
                  <c:v>Snacks</c:v>
                </c:pt>
                <c:pt idx="1">
                  <c:v>Crackers</c:v>
                </c:pt>
                <c:pt idx="2">
                  <c:v>Bars</c:v>
                </c:pt>
                <c:pt idx="3">
                  <c:v>Cookies</c:v>
                </c:pt>
              </c:strCache>
            </c:strRef>
          </c:cat>
          <c:val>
            <c:numRef>
              <c:f>Category!$D$5:$D$9</c:f>
              <c:numCache>
                <c:formatCode>0</c:formatCode>
                <c:ptCount val="4"/>
                <c:pt idx="0">
                  <c:v>378.33</c:v>
                </c:pt>
                <c:pt idx="1">
                  <c:v>296.64999999999998</c:v>
                </c:pt>
                <c:pt idx="2">
                  <c:v>1742.5999999999997</c:v>
                </c:pt>
                <c:pt idx="3">
                  <c:v>2456.33</c:v>
                </c:pt>
              </c:numCache>
            </c:numRef>
          </c:val>
          <c:extLst>
            <c:ext xmlns:c16="http://schemas.microsoft.com/office/drawing/2014/chart" uri="{C3380CC4-5D6E-409C-BE32-E72D297353CC}">
              <c16:uniqueId val="{00000004-736C-4120-BB59-109BA6B88C7B}"/>
            </c:ext>
          </c:extLst>
        </c:ser>
        <c:ser>
          <c:idx val="3"/>
          <c:order val="3"/>
          <c:tx>
            <c:strRef>
              <c:f>Category!$E$3:$E$4</c:f>
              <c:strCache>
                <c:ptCount val="1"/>
                <c:pt idx="0">
                  <c:v>San Diego</c:v>
                </c:pt>
              </c:strCache>
            </c:strRef>
          </c:tx>
          <c:spPr>
            <a:solidFill>
              <a:schemeClr val="accent3">
                <a:tint val="58000"/>
              </a:schemeClr>
            </a:solidFill>
            <a:ln>
              <a:noFill/>
            </a:ln>
            <a:effectLst/>
          </c:spPr>
          <c:invertIfNegative val="0"/>
          <c:cat>
            <c:strRef>
              <c:f>Category!$A$5:$A$9</c:f>
              <c:strCache>
                <c:ptCount val="4"/>
                <c:pt idx="0">
                  <c:v>Snacks</c:v>
                </c:pt>
                <c:pt idx="1">
                  <c:v>Crackers</c:v>
                </c:pt>
                <c:pt idx="2">
                  <c:v>Bars</c:v>
                </c:pt>
                <c:pt idx="3">
                  <c:v>Cookies</c:v>
                </c:pt>
              </c:strCache>
            </c:strRef>
          </c:cat>
          <c:val>
            <c:numRef>
              <c:f>Category!$E$5:$E$9</c:f>
              <c:numCache>
                <c:formatCode>0</c:formatCode>
                <c:ptCount val="4"/>
                <c:pt idx="0">
                  <c:v>99.12</c:v>
                </c:pt>
                <c:pt idx="1">
                  <c:v>167.51999999999998</c:v>
                </c:pt>
                <c:pt idx="2">
                  <c:v>438.50999999999993</c:v>
                </c:pt>
                <c:pt idx="3">
                  <c:v>1391.4299999999998</c:v>
                </c:pt>
              </c:numCache>
            </c:numRef>
          </c:val>
          <c:extLst>
            <c:ext xmlns:c16="http://schemas.microsoft.com/office/drawing/2014/chart" uri="{C3380CC4-5D6E-409C-BE32-E72D297353CC}">
              <c16:uniqueId val="{00000005-736C-4120-BB59-109BA6B88C7B}"/>
            </c:ext>
          </c:extLst>
        </c:ser>
        <c:dLbls>
          <c:showLegendKey val="0"/>
          <c:showVal val="0"/>
          <c:showCatName val="0"/>
          <c:showSerName val="0"/>
          <c:showPercent val="0"/>
          <c:showBubbleSize val="0"/>
        </c:dLbls>
        <c:gapWidth val="150"/>
        <c:overlap val="100"/>
        <c:axId val="1937188000"/>
        <c:axId val="1937188832"/>
      </c:barChart>
      <c:catAx>
        <c:axId val="1937188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37188832"/>
        <c:crosses val="autoZero"/>
        <c:auto val="1"/>
        <c:lblAlgn val="ctr"/>
        <c:lblOffset val="100"/>
        <c:noMultiLvlLbl val="0"/>
      </c:catAx>
      <c:valAx>
        <c:axId val="1937188832"/>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371880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[Dashboard2.xlsm]Sales Line CHart!PivotTable1</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Sales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w="9525">
              <a:solidFill>
                <a:schemeClr val="accent1"/>
              </a:solidFill>
            </a:ln>
            <a:effectLst/>
          </c:spPr>
        </c:marker>
      </c:pivotFmt>
      <c:pivotFmt>
        <c:idx val="4"/>
        <c:spPr>
          <a:solidFill>
            <a:schemeClr val="accent1"/>
          </a:solidFill>
          <a:ln w="28575" cap="rnd">
            <a:solidFill>
              <a:schemeClr val="bg1">
                <a:lumMod val="65000"/>
              </a:schemeClr>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bg1">
                <a:lumMod val="65000"/>
              </a:schemeClr>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pivotFmt>
      <c:pivotFmt>
        <c:idx val="7"/>
        <c:spPr>
          <a:solidFill>
            <a:schemeClr val="accent1"/>
          </a:solidFill>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pivotFmt>
      <c:pivotFmt>
        <c:idx val="8"/>
        <c:spPr>
          <a:solidFill>
            <a:schemeClr val="accent1"/>
          </a:solidFill>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pivotFmt>
      <c:pivotFmt>
        <c:idx val="9"/>
        <c:spPr>
          <a:solidFill>
            <a:schemeClr val="accent1"/>
          </a:solidFill>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pivotFmt>
      <c:pivotFmt>
        <c:idx val="10"/>
        <c:spPr>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pivotFmt>
    </c:pivotFmts>
    <c:plotArea>
      <c:layout/>
      <c:lineChart>
        <c:grouping val="standard"/>
        <c:varyColors val="0"/>
        <c:ser>
          <c:idx val="0"/>
          <c:order val="0"/>
          <c:tx>
            <c:strRef>
              <c:f>'Sales Line CHart'!$B$3</c:f>
              <c:strCache>
                <c:ptCount val="1"/>
                <c:pt idx="0">
                  <c:v>Total</c:v>
                </c:pt>
              </c:strCache>
            </c:strRef>
          </c:tx>
          <c:spPr>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cat>
            <c:strRef>
              <c:f>'Sales Line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Line CHart'!$B$4:$B$16</c:f>
              <c:numCache>
                <c:formatCode>General</c:formatCode>
                <c:ptCount val="12"/>
                <c:pt idx="0">
                  <c:v>1705.82</c:v>
                </c:pt>
                <c:pt idx="1">
                  <c:v>926.05</c:v>
                </c:pt>
                <c:pt idx="2">
                  <c:v>1647.6999999999998</c:v>
                </c:pt>
                <c:pt idx="3">
                  <c:v>1052.0899999999999</c:v>
                </c:pt>
                <c:pt idx="4">
                  <c:v>1393.4499999999998</c:v>
                </c:pt>
                <c:pt idx="5">
                  <c:v>2308.7499999999995</c:v>
                </c:pt>
                <c:pt idx="6">
                  <c:v>1263.1600000000001</c:v>
                </c:pt>
                <c:pt idx="7">
                  <c:v>1490.8999999999999</c:v>
                </c:pt>
                <c:pt idx="8">
                  <c:v>1524.06</c:v>
                </c:pt>
                <c:pt idx="9">
                  <c:v>1755.5700000000002</c:v>
                </c:pt>
                <c:pt idx="10">
                  <c:v>1311.4699999999998</c:v>
                </c:pt>
                <c:pt idx="11">
                  <c:v>1609.64</c:v>
                </c:pt>
              </c:numCache>
            </c:numRef>
          </c:val>
          <c:smooth val="0"/>
          <c:extLst>
            <c:ext xmlns:c16="http://schemas.microsoft.com/office/drawing/2014/chart" uri="{C3380CC4-5D6E-409C-BE32-E72D297353CC}">
              <c16:uniqueId val="{00000000-944B-4F1E-9D68-9D6AA990B3B9}"/>
            </c:ext>
          </c:extLst>
        </c:ser>
        <c:dLbls>
          <c:showLegendKey val="0"/>
          <c:showVal val="0"/>
          <c:showCatName val="0"/>
          <c:showSerName val="0"/>
          <c:showPercent val="0"/>
          <c:showBubbleSize val="0"/>
        </c:dLbls>
        <c:marker val="1"/>
        <c:smooth val="0"/>
        <c:axId val="1256165840"/>
        <c:axId val="1266554944"/>
      </c:lineChart>
      <c:catAx>
        <c:axId val="1256165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66554944"/>
        <c:crosses val="autoZero"/>
        <c:auto val="1"/>
        <c:lblAlgn val="ctr"/>
        <c:lblOffset val="100"/>
        <c:noMultiLvlLbl val="0"/>
      </c:catAx>
      <c:valAx>
        <c:axId val="12665549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6165840"/>
        <c:crosses val="autoZero"/>
        <c:crossBetween val="between"/>
        <c:majorUnit val="100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[Dashboard2.xlsm]Profit Line!PivotTable1</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Profit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rgbClr val="A60AE4"/>
            </a:solidFill>
            <a:ln w="9525">
              <a:solidFill>
                <a:schemeClr val="bg1"/>
              </a:solidFill>
            </a:ln>
            <a:effectLst>
              <a:glow rad="139700">
                <a:srgbClr val="C835D7">
                  <a:alpha val="40000"/>
                </a:srgbClr>
              </a:glow>
            </a:effectLst>
          </c:spPr>
        </c:marker>
      </c:pivotFmt>
      <c:pivotFmt>
        <c:idx val="1"/>
        <c:spPr>
          <a:solidFill>
            <a:schemeClr val="accent1"/>
          </a:solidFill>
          <a:ln w="28575" cap="rnd">
            <a:solidFill>
              <a:schemeClr val="bg1"/>
            </a:solidFill>
            <a:round/>
          </a:ln>
          <a:effectLst>
            <a:glow rad="139700">
              <a:srgbClr val="C835D7">
                <a:alpha val="40000"/>
              </a:srgbClr>
            </a:glow>
          </a:effectLst>
        </c:spPr>
        <c:marker>
          <c:symbol val="circle"/>
          <c:size val="5"/>
          <c:spPr>
            <a:solidFill>
              <a:srgbClr val="A60AE4"/>
            </a:solidFill>
            <a:ln w="9525">
              <a:solidFill>
                <a:schemeClr val="bg1"/>
              </a:solidFill>
            </a:ln>
            <a:effectLst>
              <a:glow rad="139700">
                <a:srgbClr val="C835D7">
                  <a:alpha val="40000"/>
                </a:srgbClr>
              </a:glow>
            </a:effectLst>
          </c:spPr>
        </c:marker>
      </c:pivotFmt>
      <c:pivotFmt>
        <c:idx val="2"/>
        <c:spPr>
          <a:solidFill>
            <a:schemeClr val="accent1"/>
          </a:solidFill>
          <a:ln w="28575" cap="rnd">
            <a:solidFill>
              <a:schemeClr val="bg1"/>
            </a:solidFill>
            <a:round/>
          </a:ln>
          <a:effectLst>
            <a:glow rad="139700">
              <a:srgbClr val="C835D7">
                <a:alpha val="40000"/>
              </a:srgbClr>
            </a:glow>
          </a:effectLst>
        </c:spPr>
        <c:marker>
          <c:symbol val="circle"/>
          <c:size val="5"/>
          <c:spPr>
            <a:solidFill>
              <a:srgbClr val="A60AE4"/>
            </a:solidFill>
            <a:ln w="9525">
              <a:solidFill>
                <a:schemeClr val="bg1"/>
              </a:solidFill>
            </a:ln>
            <a:effectLst>
              <a:glow rad="139700">
                <a:srgbClr val="C835D7">
                  <a:alpha val="40000"/>
                </a:srgbClr>
              </a:glow>
            </a:effectLst>
          </c:spPr>
        </c:marker>
      </c:pivotFmt>
      <c:pivotFmt>
        <c:idx val="3"/>
        <c:spPr>
          <a:ln w="28575" cap="rnd">
            <a:solidFill>
              <a:schemeClr val="bg1"/>
            </a:solidFill>
            <a:round/>
          </a:ln>
          <a:effectLst>
            <a:glow rad="139700">
              <a:srgbClr val="C835D7">
                <a:alpha val="40000"/>
              </a:srgbClr>
            </a:glow>
          </a:effectLst>
        </c:spPr>
        <c:marker>
          <c:symbol val="circle"/>
          <c:size val="5"/>
          <c:spPr>
            <a:solidFill>
              <a:srgbClr val="A60AE4"/>
            </a:solidFill>
            <a:ln w="9525">
              <a:solidFill>
                <a:schemeClr val="bg1"/>
              </a:solidFill>
            </a:ln>
            <a:effectLst>
              <a:glow rad="139700">
                <a:srgbClr val="C835D7">
                  <a:alpha val="40000"/>
                </a:srgbClr>
              </a:glow>
            </a:effectLst>
          </c:spPr>
        </c:marker>
      </c:pivotFmt>
    </c:pivotFmts>
    <c:plotArea>
      <c:layout/>
      <c:lineChart>
        <c:grouping val="standard"/>
        <c:varyColors val="0"/>
        <c:ser>
          <c:idx val="0"/>
          <c:order val="0"/>
          <c:tx>
            <c:strRef>
              <c:f>'Profit Line'!$B$3</c:f>
              <c:strCache>
                <c:ptCount val="1"/>
                <c:pt idx="0">
                  <c:v>Total</c:v>
                </c:pt>
              </c:strCache>
            </c:strRef>
          </c:tx>
          <c:spPr>
            <a:ln w="28575" cap="rnd">
              <a:solidFill>
                <a:schemeClr val="bg1"/>
              </a:solidFill>
              <a:round/>
            </a:ln>
            <a:effectLst>
              <a:glow rad="139700">
                <a:srgbClr val="C835D7">
                  <a:alpha val="40000"/>
                </a:srgbClr>
              </a:glow>
            </a:effectLst>
          </c:spPr>
          <c:marker>
            <c:symbol val="circle"/>
            <c:size val="5"/>
            <c:spPr>
              <a:solidFill>
                <a:srgbClr val="A60AE4"/>
              </a:solidFill>
              <a:ln w="9525">
                <a:solidFill>
                  <a:schemeClr val="bg1"/>
                </a:solidFill>
              </a:ln>
              <a:effectLst>
                <a:glow rad="139700">
                  <a:srgbClr val="C835D7">
                    <a:alpha val="40000"/>
                  </a:srgbClr>
                </a:glow>
              </a:effectLst>
            </c:spPr>
          </c:marker>
          <c:cat>
            <c:strRef>
              <c:f>'Profit Line'!$A$4:$A$16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Line'!$B$4:$B$16</c:f>
              <c:numCache>
                <c:formatCode>"$"#,##0</c:formatCode>
                <c:ptCount val="12"/>
                <c:pt idx="0">
                  <c:v>1583.2384999999999</c:v>
                </c:pt>
                <c:pt idx="1">
                  <c:v>786.49009999999998</c:v>
                </c:pt>
                <c:pt idx="2">
                  <c:v>1479.0741</c:v>
                </c:pt>
                <c:pt idx="3">
                  <c:v>997.9384</c:v>
                </c:pt>
                <c:pt idx="4">
                  <c:v>1263.5237</c:v>
                </c:pt>
                <c:pt idx="5">
                  <c:v>2152.2022000000002</c:v>
                </c:pt>
                <c:pt idx="6">
                  <c:v>1147.4096999999999</c:v>
                </c:pt>
                <c:pt idx="7">
                  <c:v>1320.1694000000002</c:v>
                </c:pt>
                <c:pt idx="8">
                  <c:v>1374.6432000000002</c:v>
                </c:pt>
                <c:pt idx="9">
                  <c:v>1541.1595000000004</c:v>
                </c:pt>
                <c:pt idx="10">
                  <c:v>1164.0605</c:v>
                </c:pt>
                <c:pt idx="11">
                  <c:v>1447.5437999999999</c:v>
                </c:pt>
              </c:numCache>
            </c:numRef>
          </c:val>
          <c:smooth val="0"/>
          <c:extLst>
            <c:ext xmlns:c16="http://schemas.microsoft.com/office/drawing/2014/chart" uri="{C3380CC4-5D6E-409C-BE32-E72D297353CC}">
              <c16:uniqueId val="{00000000-B3E6-4E43-BAC2-691995955F6C}"/>
            </c:ext>
          </c:extLst>
        </c:ser>
        <c:dLbls>
          <c:showLegendKey val="0"/>
          <c:showVal val="0"/>
          <c:showCatName val="0"/>
          <c:showSerName val="0"/>
          <c:showPercent val="0"/>
          <c:showBubbleSize val="0"/>
        </c:dLbls>
        <c:marker val="1"/>
        <c:smooth val="0"/>
        <c:axId val="1863076432"/>
        <c:axId val="1863082672"/>
      </c:lineChart>
      <c:catAx>
        <c:axId val="186307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63082672"/>
        <c:crosses val="autoZero"/>
        <c:auto val="1"/>
        <c:lblAlgn val="ctr"/>
        <c:lblOffset val="100"/>
        <c:noMultiLvlLbl val="0"/>
      </c:catAx>
      <c:valAx>
        <c:axId val="186308267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630764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[Dashboard2.xlsm]Profit Pie!PivotTable2</c:name>
    <c:fmtId val="2"/>
  </c:pivotSource>
  <c:chart>
    <c:autoTitleDeleted val="1"/>
    <c:pivotFmts>
      <c:pivotFmt>
        <c:idx val="0"/>
        <c:spPr>
          <a:solidFill>
            <a:schemeClr val="accent1"/>
          </a:solidFill>
          <a:ln w="88900">
            <a:solidFill>
              <a:schemeClr val="lt1"/>
            </a:solidFill>
          </a:ln>
          <a:effectLst/>
        </c:spPr>
        <c:marker>
          <c:symbol val="none"/>
        </c:marker>
      </c:pivotFmt>
      <c:pivotFmt>
        <c:idx val="1"/>
        <c:spPr>
          <a:solidFill>
            <a:schemeClr val="accent3">
              <a:lumMod val="60000"/>
              <a:lumOff val="40000"/>
            </a:schemeClr>
          </a:solidFill>
          <a:ln w="88900">
            <a:solidFill>
              <a:schemeClr val="accent3">
                <a:lumMod val="60000"/>
                <a:lumOff val="40000"/>
              </a:schemeClr>
            </a:solidFill>
          </a:ln>
          <a:effectLst/>
        </c:spPr>
      </c:pivotFmt>
      <c:pivotFmt>
        <c:idx val="2"/>
        <c:spPr>
          <a:noFill/>
          <a:ln w="12700">
            <a:solidFill>
              <a:schemeClr val="lt1"/>
            </a:solidFill>
          </a:ln>
          <a:effectLst/>
        </c:spPr>
      </c:pivotFmt>
      <c:pivotFmt>
        <c:idx val="3"/>
        <c:spPr>
          <a:solidFill>
            <a:schemeClr val="accent1"/>
          </a:solidFill>
          <a:ln w="88900">
            <a:solidFill>
              <a:schemeClr val="lt1"/>
            </a:solidFill>
          </a:ln>
          <a:effectLst/>
        </c:spPr>
        <c:marker>
          <c:symbol val="none"/>
        </c:marker>
      </c:pivotFmt>
      <c:pivotFmt>
        <c:idx val="4"/>
        <c:spPr>
          <a:noFill/>
          <a:ln w="12700">
            <a:solidFill>
              <a:schemeClr val="lt1"/>
            </a:solidFill>
          </a:ln>
          <a:effectLst/>
        </c:spPr>
      </c:pivotFmt>
      <c:pivotFmt>
        <c:idx val="5"/>
        <c:spPr>
          <a:solidFill>
            <a:schemeClr val="accent3">
              <a:lumMod val="60000"/>
              <a:lumOff val="40000"/>
            </a:schemeClr>
          </a:solidFill>
          <a:ln w="88900">
            <a:solidFill>
              <a:schemeClr val="accent3">
                <a:lumMod val="60000"/>
                <a:lumOff val="40000"/>
              </a:schemeClr>
            </a:solidFill>
          </a:ln>
          <a:effectLst/>
        </c:spPr>
      </c:pivotFmt>
      <c:pivotFmt>
        <c:idx val="6"/>
        <c:spPr>
          <a:solidFill>
            <a:schemeClr val="accent1"/>
          </a:solidFill>
          <a:ln w="88900">
            <a:solidFill>
              <a:schemeClr val="lt1"/>
            </a:solidFill>
          </a:ln>
          <a:effectLst/>
        </c:spPr>
        <c:marker>
          <c:symbol val="none"/>
        </c:marker>
      </c:pivotFmt>
      <c:pivotFmt>
        <c:idx val="7"/>
        <c:spPr>
          <a:noFill/>
          <a:ln w="19050">
            <a:solidFill>
              <a:schemeClr val="lt1"/>
            </a:solidFill>
          </a:ln>
          <a:effectLst/>
        </c:spPr>
      </c:pivotFmt>
      <c:pivotFmt>
        <c:idx val="8"/>
        <c:spPr>
          <a:solidFill>
            <a:schemeClr val="accent3">
              <a:lumMod val="60000"/>
              <a:lumOff val="40000"/>
            </a:schemeClr>
          </a:solidFill>
          <a:ln w="88900">
            <a:solidFill>
              <a:schemeClr val="accent3">
                <a:lumMod val="60000"/>
                <a:lumOff val="40000"/>
              </a:schemeClr>
            </a:solidFill>
          </a:ln>
          <a:effectLst/>
        </c:spPr>
      </c:pivotFmt>
    </c:pivotFmts>
    <c:plotArea>
      <c:layout>
        <c:manualLayout>
          <c:layoutTarget val="inner"/>
          <c:xMode val="edge"/>
          <c:yMode val="edge"/>
          <c:x val="6.851021425012456E-2"/>
          <c:y val="6.8092428711897732E-2"/>
          <c:w val="0.86920777279521688"/>
          <c:h val="0.85766961651917417"/>
        </c:manualLayout>
      </c:layout>
      <c:doughnutChart>
        <c:varyColors val="1"/>
        <c:ser>
          <c:idx val="0"/>
          <c:order val="0"/>
          <c:tx>
            <c:strRef>
              <c:f>'Profit Pie'!$B$3</c:f>
              <c:strCache>
                <c:ptCount val="1"/>
                <c:pt idx="0">
                  <c:v>Total</c:v>
                </c:pt>
              </c:strCache>
            </c:strRef>
          </c:tx>
          <c:spPr>
            <a:ln w="88900"/>
          </c:spPr>
          <c:dPt>
            <c:idx val="0"/>
            <c:bubble3D val="0"/>
            <c:spPr>
              <a:noFill/>
              <a:ln w="19050">
                <a:solidFill>
                  <a:schemeClr val="lt1"/>
                </a:solidFill>
              </a:ln>
              <a:effectLst/>
            </c:spPr>
            <c:extLst>
              <c:ext xmlns:c16="http://schemas.microsoft.com/office/drawing/2014/chart" uri="{C3380CC4-5D6E-409C-BE32-E72D297353CC}">
                <c16:uniqueId val="{00000001-4A18-48CD-9E44-58D3469C5FDC}"/>
              </c:ext>
            </c:extLst>
          </c:dPt>
          <c:dPt>
            <c:idx val="1"/>
            <c:bubble3D val="0"/>
            <c:spPr>
              <a:solidFill>
                <a:schemeClr val="accent3">
                  <a:lumMod val="60000"/>
                  <a:lumOff val="40000"/>
                </a:schemeClr>
              </a:solidFill>
              <a:ln w="88900">
                <a:solidFill>
                  <a:schemeClr val="accent3">
                    <a:lumMod val="60000"/>
                    <a:lumOff val="40000"/>
                  </a:schemeClr>
                </a:solidFill>
              </a:ln>
              <a:effectLst/>
            </c:spPr>
            <c:extLst>
              <c:ext xmlns:c16="http://schemas.microsoft.com/office/drawing/2014/chart" uri="{C3380CC4-5D6E-409C-BE32-E72D297353CC}">
                <c16:uniqueId val="{00000003-4A18-48CD-9E44-58D3469C5FDC}"/>
              </c:ext>
            </c:extLst>
          </c:dPt>
          <c:cat>
            <c:strRef>
              <c:f>'Profit Pie'!$A$4:$A$6</c:f>
              <c:strCache>
                <c:ptCount val="2"/>
                <c:pt idx="0">
                  <c:v>West</c:v>
                </c:pt>
                <c:pt idx="1">
                  <c:v>East</c:v>
                </c:pt>
              </c:strCache>
            </c:strRef>
          </c:cat>
          <c:val>
            <c:numRef>
              <c:f>'Profit Pie'!$B$4:$B$6</c:f>
              <c:numCache>
                <c:formatCode>0.00%</c:formatCode>
                <c:ptCount val="2"/>
                <c:pt idx="0">
                  <c:v>0.33267968031228712</c:v>
                </c:pt>
                <c:pt idx="1">
                  <c:v>0.66732031968771288</c:v>
                </c:pt>
              </c:numCache>
            </c:numRef>
          </c:val>
          <c:extLst>
            <c:ext xmlns:c16="http://schemas.microsoft.com/office/drawing/2014/chart" uri="{C3380CC4-5D6E-409C-BE32-E72D297353CC}">
              <c16:uniqueId val="{00000004-4A18-48CD-9E44-58D3469C5F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[Dashboard2.xlsm]Profit Pie!PivotTable3</c:name>
    <c:fmtId val="2"/>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6">
              <a:lumMod val="60000"/>
              <a:lumOff val="40000"/>
            </a:schemeClr>
          </a:solidFill>
          <a:ln w="88900">
            <a:solidFill>
              <a:schemeClr val="accent6">
                <a:lumMod val="60000"/>
                <a:lumOff val="40000"/>
              </a:schemeClr>
            </a:solidFill>
          </a:ln>
          <a:effectLst/>
        </c:spPr>
      </c:pivotFmt>
      <c:pivotFmt>
        <c:idx val="2"/>
        <c:spPr>
          <a:noFill/>
          <a:ln w="19050">
            <a:solidFill>
              <a:schemeClr val="lt1"/>
            </a:solidFill>
          </a:ln>
          <a:effectLst/>
        </c:spPr>
      </c:pivotFmt>
      <c:pivotFmt>
        <c:idx val="3"/>
        <c:spPr>
          <a:solidFill>
            <a:schemeClr val="accent1"/>
          </a:solidFill>
          <a:ln w="19050">
            <a:solidFill>
              <a:schemeClr val="lt1"/>
            </a:solidFill>
          </a:ln>
          <a:effectLst/>
        </c:spPr>
        <c:marker>
          <c:symbol val="none"/>
        </c:marker>
      </c:pivotFmt>
      <c:pivotFmt>
        <c:idx val="4"/>
        <c:spPr>
          <a:noFill/>
          <a:ln w="19050">
            <a:solidFill>
              <a:schemeClr val="lt1"/>
            </a:solidFill>
          </a:ln>
          <a:effectLst/>
        </c:spPr>
      </c:pivotFmt>
      <c:pivotFmt>
        <c:idx val="5"/>
        <c:spPr>
          <a:solidFill>
            <a:schemeClr val="accent6">
              <a:lumMod val="60000"/>
              <a:lumOff val="40000"/>
            </a:schemeClr>
          </a:solidFill>
          <a:ln w="88900">
            <a:solidFill>
              <a:schemeClr val="accent6">
                <a:lumMod val="60000"/>
                <a:lumOff val="40000"/>
              </a:schemeClr>
            </a:solidFill>
          </a:ln>
          <a:effectLst/>
        </c:spPr>
      </c:pivotFmt>
      <c:pivotFmt>
        <c:idx val="6"/>
        <c:spPr>
          <a:solidFill>
            <a:schemeClr val="accent1"/>
          </a:solidFill>
          <a:ln w="19050">
            <a:solidFill>
              <a:schemeClr val="lt1"/>
            </a:solidFill>
          </a:ln>
          <a:effectLst/>
        </c:spPr>
        <c:marker>
          <c:symbol val="none"/>
        </c:marker>
      </c:pivotFmt>
      <c:pivotFmt>
        <c:idx val="7"/>
        <c:spPr>
          <a:noFill/>
          <a:ln w="19050">
            <a:solidFill>
              <a:schemeClr val="lt1"/>
            </a:solidFill>
          </a:ln>
          <a:effectLst/>
        </c:spPr>
      </c:pivotFmt>
      <c:pivotFmt>
        <c:idx val="8"/>
        <c:spPr>
          <a:solidFill>
            <a:schemeClr val="accent6">
              <a:lumMod val="60000"/>
              <a:lumOff val="40000"/>
            </a:schemeClr>
          </a:solidFill>
          <a:ln w="88900">
            <a:solidFill>
              <a:schemeClr val="accent6">
                <a:lumMod val="60000"/>
                <a:lumOff val="40000"/>
              </a:schemeClr>
            </a:solidFill>
          </a:ln>
          <a:effectLst/>
        </c:spPr>
      </c:pivotFmt>
    </c:pivotFmts>
    <c:plotArea>
      <c:layout/>
      <c:doughnutChart>
        <c:varyColors val="1"/>
        <c:ser>
          <c:idx val="0"/>
          <c:order val="0"/>
          <c:tx>
            <c:strRef>
              <c:f>'Profit Pie'!$E$3</c:f>
              <c:strCache>
                <c:ptCount val="1"/>
                <c:pt idx="0">
                  <c:v>Total</c:v>
                </c:pt>
              </c:strCache>
            </c:strRef>
          </c:tx>
          <c:dPt>
            <c:idx val="0"/>
            <c:bubble3D val="0"/>
            <c:spPr>
              <a:noFill/>
              <a:ln w="19050">
                <a:solidFill>
                  <a:schemeClr val="lt1"/>
                </a:solidFill>
              </a:ln>
              <a:effectLst/>
            </c:spPr>
            <c:extLst>
              <c:ext xmlns:c16="http://schemas.microsoft.com/office/drawing/2014/chart" uri="{C3380CC4-5D6E-409C-BE32-E72D297353CC}">
                <c16:uniqueId val="{00000001-4923-41D8-8291-38F87A8F10EA}"/>
              </c:ext>
            </c:extLst>
          </c:dPt>
          <c:dPt>
            <c:idx val="1"/>
            <c:bubble3D val="0"/>
            <c:spPr>
              <a:solidFill>
                <a:schemeClr val="accent6">
                  <a:lumMod val="60000"/>
                  <a:lumOff val="40000"/>
                </a:schemeClr>
              </a:solidFill>
              <a:ln w="88900">
                <a:solidFill>
                  <a:schemeClr val="accent6">
                    <a:lumMod val="60000"/>
                    <a:lumOff val="40000"/>
                  </a:schemeClr>
                </a:solidFill>
              </a:ln>
              <a:effectLst/>
            </c:spPr>
            <c:extLst>
              <c:ext xmlns:c16="http://schemas.microsoft.com/office/drawing/2014/chart" uri="{C3380CC4-5D6E-409C-BE32-E72D297353CC}">
                <c16:uniqueId val="{00000003-4923-41D8-8291-38F87A8F10EA}"/>
              </c:ext>
            </c:extLst>
          </c:dPt>
          <c:cat>
            <c:strRef>
              <c:f>'Profit Pie'!$D$4:$D$6</c:f>
              <c:strCache>
                <c:ptCount val="2"/>
                <c:pt idx="0">
                  <c:v>East</c:v>
                </c:pt>
                <c:pt idx="1">
                  <c:v>West</c:v>
                </c:pt>
              </c:strCache>
            </c:strRef>
          </c:cat>
          <c:val>
            <c:numRef>
              <c:f>'Profit Pie'!$E$4:$E$6</c:f>
              <c:numCache>
                <c:formatCode>0.00%</c:formatCode>
                <c:ptCount val="2"/>
                <c:pt idx="0">
                  <c:v>0.66732031968771288</c:v>
                </c:pt>
                <c:pt idx="1">
                  <c:v>0.33267968031228712</c:v>
                </c:pt>
              </c:numCache>
            </c:numRef>
          </c:val>
          <c:extLst>
            <c:ext xmlns:c16="http://schemas.microsoft.com/office/drawing/2014/chart" uri="{C3380CC4-5D6E-409C-BE32-E72D297353CC}">
              <c16:uniqueId val="{00000004-4923-41D8-8291-38F87A8F10E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[Dashboard2.xlsm]Profit Product!PivotTable1</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Product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accent6">
              <a:lumMod val="60000"/>
              <a:lumOff val="4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'Profit Product'!$B$3:$B$4</c:f>
              <c:strCache>
                <c:ptCount val="1"/>
                <c:pt idx="0">
                  <c:v>East</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'Profit Product'!$A$5:$A$14</c:f>
              <c:strCache>
                <c:ptCount val="9"/>
                <c:pt idx="0">
                  <c:v>Arrowroot</c:v>
                </c:pt>
                <c:pt idx="1">
                  <c:v>Banana</c:v>
                </c:pt>
                <c:pt idx="2">
                  <c:v>Bran</c:v>
                </c:pt>
                <c:pt idx="3">
                  <c:v>Carrot</c:v>
                </c:pt>
                <c:pt idx="4">
                  <c:v>Chocolate Chip</c:v>
                </c:pt>
                <c:pt idx="5">
                  <c:v>Oatmeal Raisin</c:v>
                </c:pt>
                <c:pt idx="6">
                  <c:v>Potato Chips</c:v>
                </c:pt>
                <c:pt idx="7">
                  <c:v>Pretzels</c:v>
                </c:pt>
                <c:pt idx="8">
                  <c:v>Whole Wheat</c:v>
                </c:pt>
              </c:strCache>
            </c:strRef>
          </c:cat>
          <c:val>
            <c:numRef>
              <c:f>'Profit Product'!$B$5:$B$14</c:f>
              <c:numCache>
                <c:formatCode>"$"#,##0</c:formatCode>
                <c:ptCount val="9"/>
                <c:pt idx="0">
                  <c:v>1717.8835999999999</c:v>
                </c:pt>
                <c:pt idx="1">
                  <c:v>56.522999999999996</c:v>
                </c:pt>
                <c:pt idx="2">
                  <c:v>952.74630000000002</c:v>
                </c:pt>
                <c:pt idx="3">
                  <c:v>2421.0768000000003</c:v>
                </c:pt>
                <c:pt idx="4">
                  <c:v>818.36809999999991</c:v>
                </c:pt>
                <c:pt idx="5">
                  <c:v>2190.3784000000001</c:v>
                </c:pt>
                <c:pt idx="6">
                  <c:v>563.38469999999995</c:v>
                </c:pt>
                <c:pt idx="7">
                  <c:v>81.647999999999996</c:v>
                </c:pt>
                <c:pt idx="8">
                  <c:v>2046.9199000000003</c:v>
                </c:pt>
              </c:numCache>
            </c:numRef>
          </c:val>
          <c:extLst>
            <c:ext xmlns:c16="http://schemas.microsoft.com/office/drawing/2014/chart" uri="{C3380CC4-5D6E-409C-BE32-E72D297353CC}">
              <c16:uniqueId val="{00000000-7AC7-4B8C-8E78-16038029E55A}"/>
            </c:ext>
          </c:extLst>
        </c:ser>
        <c:ser>
          <c:idx val="1"/>
          <c:order val="1"/>
          <c:tx>
            <c:strRef>
              <c:f>'Profit Product'!$C$3:$C$4</c:f>
              <c:strCache>
                <c:ptCount val="1"/>
                <c:pt idx="0">
                  <c:v>West</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'Profit Product'!$A$5:$A$14</c:f>
              <c:strCache>
                <c:ptCount val="9"/>
                <c:pt idx="0">
                  <c:v>Arrowroot</c:v>
                </c:pt>
                <c:pt idx="1">
                  <c:v>Banana</c:v>
                </c:pt>
                <c:pt idx="2">
                  <c:v>Bran</c:v>
                </c:pt>
                <c:pt idx="3">
                  <c:v>Carrot</c:v>
                </c:pt>
                <c:pt idx="4">
                  <c:v>Chocolate Chip</c:v>
                </c:pt>
                <c:pt idx="5">
                  <c:v>Oatmeal Raisin</c:v>
                </c:pt>
                <c:pt idx="6">
                  <c:v>Potato Chips</c:v>
                </c:pt>
                <c:pt idx="7">
                  <c:v>Pretzels</c:v>
                </c:pt>
                <c:pt idx="8">
                  <c:v>Whole Wheat</c:v>
                </c:pt>
              </c:strCache>
            </c:strRef>
          </c:cat>
          <c:val>
            <c:numRef>
              <c:f>'Profit Product'!$C$5:$C$14</c:f>
              <c:numCache>
                <c:formatCode>"$"#,##0</c:formatCode>
                <c:ptCount val="9"/>
                <c:pt idx="0">
                  <c:v>649.33479999999986</c:v>
                </c:pt>
                <c:pt idx="2">
                  <c:v>209.81400000000002</c:v>
                </c:pt>
                <c:pt idx="3">
                  <c:v>1529.5278000000003</c:v>
                </c:pt>
                <c:pt idx="4">
                  <c:v>1077.4753000000001</c:v>
                </c:pt>
                <c:pt idx="5">
                  <c:v>1100.6419999999998</c:v>
                </c:pt>
                <c:pt idx="6">
                  <c:v>613.06560000000002</c:v>
                </c:pt>
                <c:pt idx="8">
                  <c:v>228.66480000000001</c:v>
                </c:pt>
              </c:numCache>
            </c:numRef>
          </c:val>
          <c:extLst>
            <c:ext xmlns:c16="http://schemas.microsoft.com/office/drawing/2014/chart" uri="{C3380CC4-5D6E-409C-BE32-E72D297353CC}">
              <c16:uniqueId val="{00000001-F28C-44DF-ACEF-13A64AB87511}"/>
            </c:ext>
          </c:extLst>
        </c:ser>
        <c:dLbls>
          <c:dLblPos val="outEnd"/>
          <c:showLegendKey val="0"/>
          <c:showVal val="1"/>
          <c:showCatName val="0"/>
          <c:showSerName val="0"/>
          <c:showPercent val="0"/>
          <c:showBubbleSize val="0"/>
        </c:dLbls>
        <c:gapWidth val="182"/>
        <c:axId val="1918284655"/>
        <c:axId val="1918293807"/>
      </c:barChart>
      <c:catAx>
        <c:axId val="1918284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8293807"/>
        <c:crosses val="autoZero"/>
        <c:auto val="1"/>
        <c:lblAlgn val="ctr"/>
        <c:lblOffset val="100"/>
        <c:noMultiLvlLbl val="0"/>
      </c:catAx>
      <c:valAx>
        <c:axId val="1918293807"/>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8284655"/>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[Dashboard2.xlsm]Profit Category!PivotTable2</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pivotFmt>
      <c:pivotFmt>
        <c:idx val="5"/>
        <c:spPr>
          <a:solidFill>
            <a:schemeClr val="accent3"/>
          </a:solidFill>
          <a:ln>
            <a:noFill/>
          </a:ln>
          <a:effectLst/>
        </c:spPr>
        <c:marker>
          <c:symbol val="none"/>
        </c:marker>
      </c:pivotFmt>
      <c:pivotFmt>
        <c:idx val="6"/>
        <c:spPr>
          <a:solidFill>
            <a:schemeClr val="accent3"/>
          </a:solidFill>
          <a:ln>
            <a:noFill/>
          </a:ln>
          <a:effectLst/>
        </c:spPr>
        <c:marker>
          <c:symbol val="none"/>
        </c:marker>
      </c:pivotFmt>
      <c:pivotFmt>
        <c:idx val="7"/>
        <c:spPr>
          <a:solidFill>
            <a:schemeClr val="accent3"/>
          </a:solidFill>
          <a:ln>
            <a:noFill/>
          </a:ln>
          <a:effectLst/>
        </c:spPr>
        <c:marker>
          <c:symbol val="none"/>
        </c:marker>
      </c:pivotFmt>
      <c:pivotFmt>
        <c:idx val="8"/>
        <c:spPr>
          <a:solidFill>
            <a:schemeClr val="accent3"/>
          </a:solidFill>
          <a:ln>
            <a:noFill/>
          </a:ln>
          <a:effectLst/>
        </c:spPr>
        <c:marker>
          <c:symbol val="none"/>
        </c:marker>
      </c:pivotFmt>
      <c:pivotFmt>
        <c:idx val="9"/>
        <c:spPr>
          <a:solidFill>
            <a:schemeClr val="accent3"/>
          </a:solidFill>
          <a:ln>
            <a:noFill/>
          </a:ln>
          <a:effectLst/>
        </c:spPr>
        <c:marker>
          <c:symbol val="none"/>
        </c:marker>
      </c:pivotFmt>
      <c:pivotFmt>
        <c:idx val="10"/>
        <c:spPr>
          <a:solidFill>
            <a:schemeClr val="accent3"/>
          </a:solidFill>
          <a:ln>
            <a:noFill/>
          </a:ln>
          <a:effectLst/>
        </c:spPr>
        <c:marker>
          <c:symbol val="none"/>
        </c:marker>
      </c:pivotFmt>
      <c:pivotFmt>
        <c:idx val="11"/>
        <c:spPr>
          <a:solidFill>
            <a:schemeClr val="accent3"/>
          </a:solidFill>
          <a:ln>
            <a:noFill/>
          </a:ln>
          <a:effectLst/>
        </c:spPr>
        <c:marker>
          <c:symbol val="none"/>
        </c:marker>
      </c:pivotFmt>
    </c:pivotFmts>
    <c:plotArea>
      <c:layout/>
      <c:barChart>
        <c:barDir val="bar"/>
        <c:grouping val="stacked"/>
        <c:varyColors val="0"/>
        <c:ser>
          <c:idx val="0"/>
          <c:order val="0"/>
          <c:tx>
            <c:strRef>
              <c:f>'Profit Category'!$B$3:$B$4</c:f>
              <c:strCache>
                <c:ptCount val="1"/>
                <c:pt idx="0">
                  <c:v>Boston</c:v>
                </c:pt>
              </c:strCache>
            </c:strRef>
          </c:tx>
          <c:spPr>
            <a:solidFill>
              <a:schemeClr val="accent3">
                <a:shade val="58000"/>
              </a:schemeClr>
            </a:solidFill>
            <a:ln>
              <a:noFill/>
            </a:ln>
            <a:effectLst/>
          </c:spPr>
          <c:invertIfNegative val="0"/>
          <c:cat>
            <c:strRef>
              <c:f>'Profit Category'!$A$5:$A$9</c:f>
              <c:strCache>
                <c:ptCount val="4"/>
                <c:pt idx="0">
                  <c:v>Snacks</c:v>
                </c:pt>
                <c:pt idx="1">
                  <c:v>Crackers</c:v>
                </c:pt>
                <c:pt idx="2">
                  <c:v>Bars</c:v>
                </c:pt>
                <c:pt idx="3">
                  <c:v>Cookies</c:v>
                </c:pt>
              </c:strCache>
            </c:strRef>
          </c:cat>
          <c:val>
            <c:numRef>
              <c:f>'Profit Category'!$B$5:$B$9</c:f>
              <c:numCache>
                <c:formatCode>"$"#,##0</c:formatCode>
                <c:ptCount val="4"/>
                <c:pt idx="0">
                  <c:v>300.01440000000002</c:v>
                </c:pt>
                <c:pt idx="1">
                  <c:v>1767.6501000000003</c:v>
                </c:pt>
                <c:pt idx="2">
                  <c:v>1883.2601</c:v>
                </c:pt>
                <c:pt idx="3">
                  <c:v>2556.1248999999998</c:v>
                </c:pt>
              </c:numCache>
            </c:numRef>
          </c:val>
          <c:extLst>
            <c:ext xmlns:c16="http://schemas.microsoft.com/office/drawing/2014/chart" uri="{C3380CC4-5D6E-409C-BE32-E72D297353CC}">
              <c16:uniqueId val="{00000000-36C1-46BC-98B2-656B31DA1499}"/>
            </c:ext>
          </c:extLst>
        </c:ser>
        <c:ser>
          <c:idx val="1"/>
          <c:order val="1"/>
          <c:tx>
            <c:strRef>
              <c:f>'Profit Category'!$C$3:$C$4</c:f>
              <c:strCache>
                <c:ptCount val="1"/>
                <c:pt idx="0">
                  <c:v>Los Angeles</c:v>
                </c:pt>
              </c:strCache>
            </c:strRef>
          </c:tx>
          <c:spPr>
            <a:solidFill>
              <a:schemeClr val="accent3">
                <a:shade val="86000"/>
              </a:schemeClr>
            </a:solidFill>
            <a:ln>
              <a:noFill/>
            </a:ln>
            <a:effectLst/>
          </c:spPr>
          <c:invertIfNegative val="0"/>
          <c:cat>
            <c:strRef>
              <c:f>'Profit Category'!$A$5:$A$9</c:f>
              <c:strCache>
                <c:ptCount val="4"/>
                <c:pt idx="0">
                  <c:v>Snacks</c:v>
                </c:pt>
                <c:pt idx="1">
                  <c:v>Crackers</c:v>
                </c:pt>
                <c:pt idx="2">
                  <c:v>Bars</c:v>
                </c:pt>
                <c:pt idx="3">
                  <c:v>Cookies</c:v>
                </c:pt>
              </c:strCache>
            </c:strRef>
          </c:cat>
          <c:val>
            <c:numRef>
              <c:f>'Profit Category'!$C$5:$C$9</c:f>
              <c:numCache>
                <c:formatCode>"$"#,##0</c:formatCode>
                <c:ptCount val="4"/>
                <c:pt idx="0">
                  <c:v>521.70719999999994</c:v>
                </c:pt>
                <c:pt idx="1">
                  <c:v>64.495200000000011</c:v>
                </c:pt>
                <c:pt idx="2">
                  <c:v>1347.9423000000002</c:v>
                </c:pt>
                <c:pt idx="3">
                  <c:v>1553.9371000000003</c:v>
                </c:pt>
              </c:numCache>
            </c:numRef>
          </c:val>
          <c:extLst>
            <c:ext xmlns:c16="http://schemas.microsoft.com/office/drawing/2014/chart" uri="{C3380CC4-5D6E-409C-BE32-E72D297353CC}">
              <c16:uniqueId val="{00000003-91DE-4389-A397-A8613DE94CB4}"/>
            </c:ext>
          </c:extLst>
        </c:ser>
        <c:ser>
          <c:idx val="2"/>
          <c:order val="2"/>
          <c:tx>
            <c:strRef>
              <c:f>'Profit Category'!$D$3:$D$4</c:f>
              <c:strCache>
                <c:ptCount val="1"/>
                <c:pt idx="0">
                  <c:v>New York</c:v>
                </c:pt>
              </c:strCache>
            </c:strRef>
          </c:tx>
          <c:spPr>
            <a:solidFill>
              <a:schemeClr val="accent3">
                <a:tint val="86000"/>
              </a:schemeClr>
            </a:solidFill>
            <a:ln>
              <a:noFill/>
            </a:ln>
            <a:effectLst/>
          </c:spPr>
          <c:invertIfNegative val="0"/>
          <c:cat>
            <c:strRef>
              <c:f>'Profit Category'!$A$5:$A$9</c:f>
              <c:strCache>
                <c:ptCount val="4"/>
                <c:pt idx="0">
                  <c:v>Snacks</c:v>
                </c:pt>
                <c:pt idx="1">
                  <c:v>Crackers</c:v>
                </c:pt>
                <c:pt idx="2">
                  <c:v>Bars</c:v>
                </c:pt>
                <c:pt idx="3">
                  <c:v>Cookies</c:v>
                </c:pt>
              </c:strCache>
            </c:strRef>
          </c:cat>
          <c:val>
            <c:numRef>
              <c:f>'Profit Category'!$D$5:$D$9</c:f>
              <c:numCache>
                <c:formatCode>"$"#,##0</c:formatCode>
                <c:ptCount val="4"/>
                <c:pt idx="0">
                  <c:v>345.01830000000001</c:v>
                </c:pt>
                <c:pt idx="1">
                  <c:v>279.26979999999998</c:v>
                </c:pt>
                <c:pt idx="2">
                  <c:v>1547.0859999999998</c:v>
                </c:pt>
                <c:pt idx="3">
                  <c:v>2170.5052000000001</c:v>
                </c:pt>
              </c:numCache>
            </c:numRef>
          </c:val>
          <c:extLst>
            <c:ext xmlns:c16="http://schemas.microsoft.com/office/drawing/2014/chart" uri="{C3380CC4-5D6E-409C-BE32-E72D297353CC}">
              <c16:uniqueId val="{00000004-91DE-4389-A397-A8613DE94CB4}"/>
            </c:ext>
          </c:extLst>
        </c:ser>
        <c:ser>
          <c:idx val="3"/>
          <c:order val="3"/>
          <c:tx>
            <c:strRef>
              <c:f>'Profit Category'!$E$3:$E$4</c:f>
              <c:strCache>
                <c:ptCount val="1"/>
                <c:pt idx="0">
                  <c:v>San Diego</c:v>
                </c:pt>
              </c:strCache>
            </c:strRef>
          </c:tx>
          <c:spPr>
            <a:solidFill>
              <a:schemeClr val="accent3">
                <a:tint val="58000"/>
              </a:schemeClr>
            </a:solidFill>
            <a:ln>
              <a:noFill/>
            </a:ln>
            <a:effectLst/>
          </c:spPr>
          <c:invertIfNegative val="0"/>
          <c:cat>
            <c:strRef>
              <c:f>'Profit Category'!$A$5:$A$9</c:f>
              <c:strCache>
                <c:ptCount val="4"/>
                <c:pt idx="0">
                  <c:v>Snacks</c:v>
                </c:pt>
                <c:pt idx="1">
                  <c:v>Crackers</c:v>
                </c:pt>
                <c:pt idx="2">
                  <c:v>Bars</c:v>
                </c:pt>
                <c:pt idx="3">
                  <c:v>Cookies</c:v>
                </c:pt>
              </c:strCache>
            </c:strRef>
          </c:cat>
          <c:val>
            <c:numRef>
              <c:f>'Profit Category'!$E$5:$E$9</c:f>
              <c:numCache>
                <c:formatCode>"$"#,##0</c:formatCode>
                <c:ptCount val="4"/>
                <c:pt idx="0">
                  <c:v>91.358399999999989</c:v>
                </c:pt>
                <c:pt idx="1">
                  <c:v>164.1696</c:v>
                </c:pt>
                <c:pt idx="2">
                  <c:v>391.39949999999999</c:v>
                </c:pt>
                <c:pt idx="3">
                  <c:v>1273.5149999999999</c:v>
                </c:pt>
              </c:numCache>
            </c:numRef>
          </c:val>
          <c:extLst>
            <c:ext xmlns:c16="http://schemas.microsoft.com/office/drawing/2014/chart" uri="{C3380CC4-5D6E-409C-BE32-E72D297353CC}">
              <c16:uniqueId val="{00000005-91DE-4389-A397-A8613DE94CB4}"/>
            </c:ext>
          </c:extLst>
        </c:ser>
        <c:dLbls>
          <c:showLegendKey val="0"/>
          <c:showVal val="0"/>
          <c:showCatName val="0"/>
          <c:showSerName val="0"/>
          <c:showPercent val="0"/>
          <c:showBubbleSize val="0"/>
        </c:dLbls>
        <c:gapWidth val="150"/>
        <c:overlap val="100"/>
        <c:axId val="1928461087"/>
        <c:axId val="1928473567"/>
      </c:barChart>
      <c:catAx>
        <c:axId val="192846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28473567"/>
        <c:crosses val="autoZero"/>
        <c:auto val="1"/>
        <c:lblAlgn val="ctr"/>
        <c:lblOffset val="100"/>
        <c:noMultiLvlLbl val="0"/>
      </c:catAx>
      <c:valAx>
        <c:axId val="1928473567"/>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2846108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[Dashboard2.xlsm]Pie Chart!PivotTable1</c:name>
    <c:fmtId val="11"/>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'Pie Chart'!$E$3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4A3-4B71-9306-7DCFAC49A3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4A3-4B71-9306-7DCFAC49A382}"/>
              </c:ext>
            </c:extLst>
          </c:dPt>
          <c:cat>
            <c:strRef>
              <c:f>'Pie Chart'!$D$4:$D$6</c:f>
              <c:strCache>
                <c:ptCount val="2"/>
                <c:pt idx="0">
                  <c:v>East</c:v>
                </c:pt>
                <c:pt idx="1">
                  <c:v>West</c:v>
                </c:pt>
              </c:strCache>
            </c:strRef>
          </c:cat>
          <c:val>
            <c:numRef>
              <c:f>'Pie Chart'!$E$4:$E$6</c:f>
              <c:numCache>
                <c:formatCode>0.00%</c:formatCode>
                <c:ptCount val="2"/>
                <c:pt idx="0">
                  <c:v>0.67357379593588396</c:v>
                </c:pt>
                <c:pt idx="1">
                  <c:v>0.32642620406411604</c:v>
                </c:pt>
              </c:numCache>
            </c:numRef>
          </c:val>
          <c:extLst>
            <c:ext xmlns:c16="http://schemas.microsoft.com/office/drawing/2014/chart" uri="{C3380CC4-5D6E-409C-BE32-E72D297353CC}">
              <c16:uniqueId val="{00000000-FBF1-4BB0-BC25-70B4639A2E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[Dashboard2.xlsm]Profit Line!PivotTable1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rgbClr val="A60AE4"/>
            </a:solidFill>
            <a:ln w="9525">
              <a:solidFill>
                <a:schemeClr val="bg1"/>
              </a:solidFill>
            </a:ln>
            <a:effectLst>
              <a:glow rad="139700">
                <a:srgbClr val="C835D7">
                  <a:alpha val="40000"/>
                </a:srgbClr>
              </a:glow>
            </a:effectLst>
          </c:spPr>
        </c:marker>
      </c:pivotFmt>
      <c:pivotFmt>
        <c:idx val="1"/>
        <c:spPr>
          <a:ln w="28575" cap="rnd">
            <a:solidFill>
              <a:schemeClr val="bg1"/>
            </a:solidFill>
            <a:round/>
          </a:ln>
          <a:effectLst>
            <a:glow rad="139700">
              <a:srgbClr val="C835D7">
                <a:alpha val="40000"/>
              </a:srgbClr>
            </a:glow>
          </a:effectLst>
        </c:spPr>
        <c:marker>
          <c:symbol val="circle"/>
          <c:size val="5"/>
          <c:spPr>
            <a:solidFill>
              <a:srgbClr val="A60AE4"/>
            </a:solidFill>
            <a:ln w="9525">
              <a:solidFill>
                <a:schemeClr val="bg1"/>
              </a:solidFill>
            </a:ln>
            <a:effectLst>
              <a:glow rad="139700">
                <a:srgbClr val="C835D7">
                  <a:alpha val="40000"/>
                </a:srgbClr>
              </a:glow>
            </a:effectLst>
          </c:spPr>
        </c:marker>
      </c:pivotFmt>
    </c:pivotFmts>
    <c:plotArea>
      <c:layout/>
      <c:lineChart>
        <c:grouping val="standard"/>
        <c:varyColors val="0"/>
        <c:ser>
          <c:idx val="0"/>
          <c:order val="0"/>
          <c:tx>
            <c:strRef>
              <c:f>'Profit Line'!$B$3</c:f>
              <c:strCache>
                <c:ptCount val="1"/>
                <c:pt idx="0">
                  <c:v>Total</c:v>
                </c:pt>
              </c:strCache>
            </c:strRef>
          </c:tx>
          <c:spPr>
            <a:ln w="28575" cap="rnd">
              <a:solidFill>
                <a:schemeClr val="bg1"/>
              </a:solidFill>
              <a:round/>
            </a:ln>
            <a:effectLst>
              <a:glow rad="139700">
                <a:srgbClr val="C835D7">
                  <a:alpha val="40000"/>
                </a:srgbClr>
              </a:glow>
            </a:effectLst>
          </c:spPr>
          <c:marker>
            <c:symbol val="circle"/>
            <c:size val="5"/>
            <c:spPr>
              <a:solidFill>
                <a:srgbClr val="A60AE4"/>
              </a:solidFill>
              <a:ln w="9525">
                <a:solidFill>
                  <a:schemeClr val="bg1"/>
                </a:solidFill>
              </a:ln>
              <a:effectLst>
                <a:glow rad="139700">
                  <a:srgbClr val="C835D7">
                    <a:alpha val="40000"/>
                  </a:srgbClr>
                </a:glow>
              </a:effectLst>
            </c:spPr>
          </c:marker>
          <c:cat>
            <c:strRef>
              <c:f>'Profit Line'!$A$4:$A$16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Line'!$B$4:$B$16</c:f>
              <c:numCache>
                <c:formatCode>"$"#,##0</c:formatCode>
                <c:ptCount val="12"/>
                <c:pt idx="0">
                  <c:v>1583.2384999999999</c:v>
                </c:pt>
                <c:pt idx="1">
                  <c:v>786.49009999999998</c:v>
                </c:pt>
                <c:pt idx="2">
                  <c:v>1479.0741</c:v>
                </c:pt>
                <c:pt idx="3">
                  <c:v>997.9384</c:v>
                </c:pt>
                <c:pt idx="4">
                  <c:v>1263.5237</c:v>
                </c:pt>
                <c:pt idx="5">
                  <c:v>2152.2022000000002</c:v>
                </c:pt>
                <c:pt idx="6">
                  <c:v>1147.4096999999999</c:v>
                </c:pt>
                <c:pt idx="7">
                  <c:v>1320.1694000000002</c:v>
                </c:pt>
                <c:pt idx="8">
                  <c:v>1374.6432000000002</c:v>
                </c:pt>
                <c:pt idx="9">
                  <c:v>1541.1595000000004</c:v>
                </c:pt>
                <c:pt idx="10">
                  <c:v>1164.0605</c:v>
                </c:pt>
                <c:pt idx="11">
                  <c:v>1447.5437999999999</c:v>
                </c:pt>
              </c:numCache>
            </c:numRef>
          </c:val>
          <c:smooth val="0"/>
          <c:extLst>
            <c:ext xmlns:c16="http://schemas.microsoft.com/office/drawing/2014/chart" uri="{C3380CC4-5D6E-409C-BE32-E72D297353CC}">
              <c16:uniqueId val="{00000000-B94C-4B73-8A27-0F61D615CCAC}"/>
            </c:ext>
          </c:extLst>
        </c:ser>
        <c:dLbls>
          <c:showLegendKey val="0"/>
          <c:showVal val="0"/>
          <c:showCatName val="0"/>
          <c:showSerName val="0"/>
          <c:showPercent val="0"/>
          <c:showBubbleSize val="0"/>
        </c:dLbls>
        <c:marker val="1"/>
        <c:smooth val="0"/>
        <c:axId val="1863076432"/>
        <c:axId val="1863082672"/>
      </c:lineChart>
      <c:catAx>
        <c:axId val="186307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082672"/>
        <c:crosses val="autoZero"/>
        <c:auto val="1"/>
        <c:lblAlgn val="ctr"/>
        <c:lblOffset val="100"/>
        <c:noMultiLvlLbl val="0"/>
      </c:catAx>
      <c:valAx>
        <c:axId val="1863082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076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[Dashboard2.xlsm]Sales Line CHart!PivotTable1</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w="9525">
              <a:solidFill>
                <a:schemeClr val="accent1"/>
              </a:solidFill>
            </a:ln>
            <a:effectLst/>
          </c:spPr>
        </c:marker>
      </c:pivotFmt>
      <c:pivotFmt>
        <c:idx val="4"/>
        <c:spPr>
          <a:solidFill>
            <a:schemeClr val="accent1"/>
          </a:solidFill>
          <a:ln w="28575" cap="rnd">
            <a:solidFill>
              <a:schemeClr val="bg1">
                <a:lumMod val="65000"/>
              </a:schemeClr>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bg1">
                <a:lumMod val="65000"/>
              </a:schemeClr>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pivotFmt>
      <c:pivotFmt>
        <c:idx val="7"/>
        <c:spPr>
          <a:solidFill>
            <a:schemeClr val="accent1"/>
          </a:solidFill>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pivotFmt>
      <c:pivotFmt>
        <c:idx val="8"/>
        <c:spPr>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pivotFmt>
    </c:pivotFmts>
    <c:plotArea>
      <c:layout/>
      <c:lineChart>
        <c:grouping val="standard"/>
        <c:varyColors val="0"/>
        <c:ser>
          <c:idx val="0"/>
          <c:order val="0"/>
          <c:tx>
            <c:strRef>
              <c:f>'Sales Line CHart'!$B$3</c:f>
              <c:strCache>
                <c:ptCount val="1"/>
                <c:pt idx="0">
                  <c:v>Total</c:v>
                </c:pt>
              </c:strCache>
            </c:strRef>
          </c:tx>
          <c:spPr>
            <a:ln w="28575" cap="rnd">
              <a:solidFill>
                <a:schemeClr val="bg1"/>
              </a:solidFill>
              <a:round/>
            </a:ln>
            <a:effectLst>
              <a:glow rad="101600">
                <a:srgbClr val="C835D7">
                  <a:alpha val="40000"/>
                </a:srgbClr>
              </a:glow>
              <a:outerShdw blurRad="50800" dist="38100" algn="l" rotWithShape="0">
                <a:prstClr val="black">
                  <a:alpha val="40000"/>
                </a:prstClr>
              </a:outerShdw>
            </a:effectLst>
          </c:spPr>
          <c:marker>
            <c:symbol val="circle"/>
            <c:size val="5"/>
            <c:spPr>
              <a:solidFill>
                <a:srgbClr val="C835D7"/>
              </a:solidFill>
              <a:ln w="9525">
                <a:solidFill>
                  <a:schemeClr val="bg1"/>
                </a:solidFill>
              </a:ln>
              <a:effectLst>
                <a:glow rad="101600">
                  <a:srgbClr val="C835D7">
                    <a:alpha val="40000"/>
                  </a:srgbClr>
                </a:glow>
                <a:outerShdw blurRad="50800" dist="38100" algn="l" rotWithShape="0">
                  <a:prstClr val="black">
                    <a:alpha val="40000"/>
                  </a:prstClr>
                </a:outerShdw>
              </a:effectLst>
            </c:spPr>
          </c:marker>
          <c:cat>
            <c:strRef>
              <c:f>'Sales Line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Line CHart'!$B$4:$B$16</c:f>
              <c:numCache>
                <c:formatCode>General</c:formatCode>
                <c:ptCount val="12"/>
                <c:pt idx="0">
                  <c:v>1705.82</c:v>
                </c:pt>
                <c:pt idx="1">
                  <c:v>926.05</c:v>
                </c:pt>
                <c:pt idx="2">
                  <c:v>1647.6999999999998</c:v>
                </c:pt>
                <c:pt idx="3">
                  <c:v>1052.0899999999999</c:v>
                </c:pt>
                <c:pt idx="4">
                  <c:v>1393.4499999999998</c:v>
                </c:pt>
                <c:pt idx="5">
                  <c:v>2308.7499999999995</c:v>
                </c:pt>
                <c:pt idx="6">
                  <c:v>1263.1600000000001</c:v>
                </c:pt>
                <c:pt idx="7">
                  <c:v>1490.8999999999999</c:v>
                </c:pt>
                <c:pt idx="8">
                  <c:v>1524.06</c:v>
                </c:pt>
                <c:pt idx="9">
                  <c:v>1755.5700000000002</c:v>
                </c:pt>
                <c:pt idx="10">
                  <c:v>1311.4699999999998</c:v>
                </c:pt>
                <c:pt idx="11">
                  <c:v>1609.64</c:v>
                </c:pt>
              </c:numCache>
            </c:numRef>
          </c:val>
          <c:smooth val="0"/>
          <c:extLst>
            <c:ext xmlns:c16="http://schemas.microsoft.com/office/drawing/2014/chart" uri="{C3380CC4-5D6E-409C-BE32-E72D297353CC}">
              <c16:uniqueId val="{00000000-2BCF-44F8-BA08-E8BE5857AD66}"/>
            </c:ext>
          </c:extLst>
        </c:ser>
        <c:dLbls>
          <c:showLegendKey val="0"/>
          <c:showVal val="0"/>
          <c:showCatName val="0"/>
          <c:showSerName val="0"/>
          <c:showPercent val="0"/>
          <c:showBubbleSize val="0"/>
        </c:dLbls>
        <c:marker val="1"/>
        <c:smooth val="0"/>
        <c:axId val="1256165840"/>
        <c:axId val="1266554944"/>
      </c:lineChart>
      <c:catAx>
        <c:axId val="1256165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66554944"/>
        <c:crosses val="autoZero"/>
        <c:auto val="1"/>
        <c:lblAlgn val="ctr"/>
        <c:lblOffset val="100"/>
        <c:noMultiLvlLbl val="0"/>
      </c:catAx>
      <c:valAx>
        <c:axId val="12665549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6165840"/>
        <c:crosses val="autoZero"/>
        <c:crossBetween val="between"/>
        <c:majorUnit val="100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[Dashboard2.xlsm]Profit Pie!PivotTable2</c:name>
    <c:fmtId val="0"/>
  </c:pivotSource>
  <c:chart>
    <c:autoTitleDeleted val="1"/>
    <c:pivotFmts>
      <c:pivotFmt>
        <c:idx val="0"/>
        <c:spPr>
          <a:solidFill>
            <a:schemeClr val="accent1"/>
          </a:solidFill>
          <a:ln w="88900">
            <a:solidFill>
              <a:schemeClr val="lt1"/>
            </a:solidFill>
          </a:ln>
          <a:effectLst/>
        </c:spPr>
        <c:marker>
          <c:symbol val="none"/>
        </c:marker>
      </c:pivotFmt>
      <c:pivotFmt>
        <c:idx val="1"/>
        <c:spPr>
          <a:solidFill>
            <a:schemeClr val="accent3">
              <a:lumMod val="60000"/>
              <a:lumOff val="40000"/>
            </a:schemeClr>
          </a:solidFill>
          <a:ln w="88900">
            <a:solidFill>
              <a:schemeClr val="accent3">
                <a:lumMod val="60000"/>
                <a:lumOff val="40000"/>
              </a:schemeClr>
            </a:solidFill>
          </a:ln>
          <a:effectLst/>
        </c:spPr>
      </c:pivotFmt>
      <c:pivotFmt>
        <c:idx val="2"/>
        <c:spPr>
          <a:noFill/>
          <a:ln w="12700">
            <a:solidFill>
              <a:schemeClr val="lt1"/>
            </a:solidFill>
          </a:ln>
          <a:effectLst/>
        </c:spPr>
      </c:pivotFmt>
    </c:pivotFmts>
    <c:plotArea>
      <c:layout>
        <c:manualLayout>
          <c:layoutTarget val="inner"/>
          <c:xMode val="edge"/>
          <c:yMode val="edge"/>
          <c:x val="6.851021425012456E-2"/>
          <c:y val="6.8092428711897732E-2"/>
          <c:w val="0.86920777279521688"/>
          <c:h val="0.85766961651917417"/>
        </c:manualLayout>
      </c:layout>
      <c:doughnutChart>
        <c:varyColors val="1"/>
        <c:ser>
          <c:idx val="0"/>
          <c:order val="0"/>
          <c:tx>
            <c:strRef>
              <c:f>'Profit Pie'!$B$3</c:f>
              <c:strCache>
                <c:ptCount val="1"/>
                <c:pt idx="0">
                  <c:v>Total</c:v>
                </c:pt>
              </c:strCache>
            </c:strRef>
          </c:tx>
          <c:spPr>
            <a:ln w="88900"/>
          </c:spPr>
          <c:dPt>
            <c:idx val="0"/>
            <c:bubble3D val="0"/>
            <c:spPr>
              <a:noFill/>
              <a:ln w="12700">
                <a:solidFill>
                  <a:schemeClr val="lt1"/>
                </a:solidFill>
              </a:ln>
              <a:effectLst/>
            </c:spPr>
            <c:extLst>
              <c:ext xmlns:c16="http://schemas.microsoft.com/office/drawing/2014/chart" uri="{C3380CC4-5D6E-409C-BE32-E72D297353CC}">
                <c16:uniqueId val="{00000003-320F-47A8-B2FB-7B979A8F4697}"/>
              </c:ext>
            </c:extLst>
          </c:dPt>
          <c:dPt>
            <c:idx val="1"/>
            <c:bubble3D val="0"/>
            <c:spPr>
              <a:solidFill>
                <a:schemeClr val="accent3">
                  <a:lumMod val="60000"/>
                  <a:lumOff val="40000"/>
                </a:schemeClr>
              </a:solidFill>
              <a:ln w="88900">
                <a:solidFill>
                  <a:schemeClr val="accent3">
                    <a:lumMod val="60000"/>
                    <a:lumOff val="40000"/>
                  </a:schemeClr>
                </a:solidFill>
              </a:ln>
              <a:effectLst/>
            </c:spPr>
            <c:extLst>
              <c:ext xmlns:c16="http://schemas.microsoft.com/office/drawing/2014/chart" uri="{C3380CC4-5D6E-409C-BE32-E72D297353CC}">
                <c16:uniqueId val="{00000002-320F-47A8-B2FB-7B979A8F4697}"/>
              </c:ext>
            </c:extLst>
          </c:dPt>
          <c:cat>
            <c:strRef>
              <c:f>'Profit Pie'!$A$4:$A$6</c:f>
              <c:strCache>
                <c:ptCount val="2"/>
                <c:pt idx="0">
                  <c:v>West</c:v>
                </c:pt>
                <c:pt idx="1">
                  <c:v>East</c:v>
                </c:pt>
              </c:strCache>
            </c:strRef>
          </c:cat>
          <c:val>
            <c:numRef>
              <c:f>'Profit Pie'!$B$4:$B$6</c:f>
              <c:numCache>
                <c:formatCode>0.00%</c:formatCode>
                <c:ptCount val="2"/>
                <c:pt idx="0">
                  <c:v>0.33267968031228712</c:v>
                </c:pt>
                <c:pt idx="1">
                  <c:v>0.66732031968771288</c:v>
                </c:pt>
              </c:numCache>
            </c:numRef>
          </c:val>
          <c:extLst>
            <c:ext xmlns:c16="http://schemas.microsoft.com/office/drawing/2014/chart" uri="{C3380CC4-5D6E-409C-BE32-E72D297353CC}">
              <c16:uniqueId val="{00000000-320F-47A8-B2FB-7B979A8F469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[Dashboard2.xlsm]Profit Pie!PivotTable3</c:name>
    <c:fmtId val="0"/>
  </c:pivotSource>
  <c:chart>
    <c:autoTitleDeleted val="1"/>
    <c:pivotFmts>
      <c:pivotFmt>
        <c:idx val="0"/>
        <c:spPr>
          <a:solidFill>
            <a:schemeClr val="accent1"/>
          </a:solidFill>
          <a:ln w="19050">
            <a:solidFill>
              <a:schemeClr val="lt1"/>
            </a:solidFill>
          </a:ln>
          <a:effectLst/>
        </c:spPr>
        <c:marker>
          <c:symbol val="none"/>
        </c:marker>
      </c:pivotFmt>
      <c:pivotFmt>
        <c:idx val="1"/>
        <c:spPr>
          <a:noFill/>
          <a:ln w="19050">
            <a:solidFill>
              <a:schemeClr val="lt1"/>
            </a:solidFill>
          </a:ln>
          <a:effectLst/>
        </c:spPr>
      </c:pivotFmt>
      <c:pivotFmt>
        <c:idx val="2"/>
        <c:spPr>
          <a:noFill/>
          <a:ln w="19050">
            <a:solidFill>
              <a:schemeClr val="lt1"/>
            </a:solidFill>
          </a:ln>
          <a:effectLst/>
        </c:spPr>
      </c:pivotFmt>
    </c:pivotFmts>
    <c:plotArea>
      <c:layout/>
      <c:doughnutChart>
        <c:varyColors val="1"/>
        <c:ser>
          <c:idx val="0"/>
          <c:order val="0"/>
          <c:tx>
            <c:strRef>
              <c:f>'Profit Pie'!$E$3</c:f>
              <c:strCache>
                <c:ptCount val="1"/>
                <c:pt idx="0">
                  <c:v>Total</c:v>
                </c:pt>
              </c:strCache>
            </c:strRef>
          </c:tx>
          <c:dPt>
            <c:idx val="0"/>
            <c:bubble3D val="0"/>
            <c:spPr>
              <a:noFill/>
              <a:ln w="19050">
                <a:solidFill>
                  <a:schemeClr val="lt1"/>
                </a:solidFill>
              </a:ln>
              <a:effectLst/>
            </c:spPr>
            <c:extLst>
              <c:ext xmlns:c16="http://schemas.microsoft.com/office/drawing/2014/chart" uri="{C3380CC4-5D6E-409C-BE32-E72D297353CC}">
                <c16:uniqueId val="{00000002-5EBB-4BD1-A6A4-453A10B70CD7}"/>
              </c:ext>
            </c:extLst>
          </c:dPt>
          <c:dPt>
            <c:idx val="1"/>
            <c:bubble3D val="0"/>
            <c:spPr>
              <a:noFill/>
              <a:ln w="19050">
                <a:solidFill>
                  <a:schemeClr val="lt1"/>
                </a:solidFill>
              </a:ln>
              <a:effectLst/>
            </c:spPr>
            <c:extLst>
              <c:ext xmlns:c16="http://schemas.microsoft.com/office/drawing/2014/chart" uri="{C3380CC4-5D6E-409C-BE32-E72D297353CC}">
                <c16:uniqueId val="{00000001-5EBB-4BD1-A6A4-453A10B70CD7}"/>
              </c:ext>
            </c:extLst>
          </c:dPt>
          <c:cat>
            <c:strRef>
              <c:f>'Profit Pie'!$D$4:$D$6</c:f>
              <c:strCache>
                <c:ptCount val="2"/>
                <c:pt idx="0">
                  <c:v>East</c:v>
                </c:pt>
                <c:pt idx="1">
                  <c:v>West</c:v>
                </c:pt>
              </c:strCache>
            </c:strRef>
          </c:cat>
          <c:val>
            <c:numRef>
              <c:f>'Profit Pie'!$E$4:$E$6</c:f>
              <c:numCache>
                <c:formatCode>0.00%</c:formatCode>
                <c:ptCount val="2"/>
                <c:pt idx="0">
                  <c:v>0.66732031968771288</c:v>
                </c:pt>
                <c:pt idx="1">
                  <c:v>0.33267968031228712</c:v>
                </c:pt>
              </c:numCache>
            </c:numRef>
          </c:val>
          <c:extLst>
            <c:ext xmlns:c16="http://schemas.microsoft.com/office/drawing/2014/chart" uri="{C3380CC4-5D6E-409C-BE32-E72D297353CC}">
              <c16:uniqueId val="{00000000-5EBB-4BD1-A6A4-453A10B70CD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3</xdr:col>
      <xdr:colOff>66675</xdr:colOff>
      <xdr:row>3</xdr:row>
      <xdr:rowOff>0</xdr:rowOff>
    </xdr:from>
    <xdr:to>
      <xdr:col>10</xdr:col>
      <xdr:colOff>361950</xdr:colOff>
      <xdr:row>10</xdr:row>
      <xdr:rowOff>152400</xdr:rowOff>
    </xdr:to>
    <xdr:sp macro="" textlink="">
      <xdr:nvSpPr>
        <xdr:cNvPr id="2" name="Trend Frame"/>
        <xdr:cNvSpPr/>
      </xdr:nvSpPr>
      <xdr:spPr>
        <a:xfrm>
          <a:off x="1895475" y="485775"/>
          <a:ext cx="4562475" cy="1485900"/>
        </a:xfrm>
        <a:prstGeom prst="rect">
          <a:avLst/>
        </a:prstGeom>
        <a:gradFill flip="none" rotWithShape="1">
          <a:gsLst>
            <a:gs pos="0">
              <a:srgbClr val="A60AE4">
                <a:alpha val="72000"/>
                <a:lumMod val="60000"/>
              </a:srgbClr>
            </a:gs>
            <a:gs pos="58000">
              <a:srgbClr val="A60AE4">
                <a:alpha val="49000"/>
              </a:srgbClr>
            </a:gs>
            <a:gs pos="100000">
              <a:srgbClr val="C835D7">
                <a:alpha val="43000"/>
              </a:srgbClr>
            </a:gs>
          </a:gsLst>
          <a:lin ang="2700000" scaled="1"/>
          <a:tileRect/>
        </a:gradFill>
        <a:ln>
          <a:noFill/>
        </a:ln>
        <a:effectLst>
          <a:glow rad="63500">
            <a:schemeClr val="bg2">
              <a:lumMod val="90000"/>
              <a:alpha val="35000"/>
            </a:schemeClr>
          </a:glow>
          <a:innerShdw blurRad="63500" dist="50800" dir="135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66675</xdr:colOff>
      <xdr:row>11</xdr:row>
      <xdr:rowOff>57150</xdr:rowOff>
    </xdr:from>
    <xdr:to>
      <xdr:col>10</xdr:col>
      <xdr:colOff>361950</xdr:colOff>
      <xdr:row>24</xdr:row>
      <xdr:rowOff>123826</xdr:rowOff>
    </xdr:to>
    <xdr:sp macro="" textlink="">
      <xdr:nvSpPr>
        <xdr:cNvPr id="10" name="Progress Frame"/>
        <xdr:cNvSpPr/>
      </xdr:nvSpPr>
      <xdr:spPr>
        <a:xfrm>
          <a:off x="1895475" y="2066925"/>
          <a:ext cx="4562475" cy="2543176"/>
        </a:xfrm>
        <a:prstGeom prst="rect">
          <a:avLst/>
        </a:prstGeom>
        <a:gradFill flip="none" rotWithShape="1">
          <a:gsLst>
            <a:gs pos="0">
              <a:srgbClr val="A60AE4">
                <a:alpha val="72000"/>
                <a:lumMod val="60000"/>
              </a:srgbClr>
            </a:gs>
            <a:gs pos="58000">
              <a:srgbClr val="A60AE4">
                <a:alpha val="49000"/>
              </a:srgbClr>
            </a:gs>
            <a:gs pos="100000">
              <a:srgbClr val="C835D7">
                <a:alpha val="43000"/>
              </a:srgbClr>
            </a:gs>
          </a:gsLst>
          <a:lin ang="2700000" scaled="1"/>
          <a:tileRect/>
        </a:gradFill>
        <a:ln>
          <a:noFill/>
        </a:ln>
        <a:effectLst>
          <a:glow rad="63500">
            <a:schemeClr val="bg2">
              <a:lumMod val="90000"/>
              <a:alpha val="35000"/>
            </a:schemeClr>
          </a:glow>
          <a:innerShdw blurRad="63500" dist="50800" dir="135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238315</xdr:colOff>
      <xdr:row>6</xdr:row>
      <xdr:rowOff>88899</xdr:rowOff>
    </xdr:from>
    <xdr:to>
      <xdr:col>3</xdr:col>
      <xdr:colOff>18859</xdr:colOff>
      <xdr:row>10</xdr:row>
      <xdr:rowOff>171450</xdr:rowOff>
    </xdr:to>
    <mc:AlternateContent xmlns:mc="http://schemas.openxmlformats.org/markup-compatibility/2006" xmlns:a14="http://schemas.microsoft.com/office/drawing/2010/main">
      <mc:Choice Requires="a14">
        <xdr:graphicFrame macro="">
          <xdr:nvGraphicFramePr>
            <xdr:cNvPr id="5" name="Region"/>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38315" y="1146174"/>
              <a:ext cx="1609344" cy="844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238315</xdr:colOff>
      <xdr:row>10</xdr:row>
      <xdr:rowOff>177798</xdr:rowOff>
    </xdr:from>
    <xdr:to>
      <xdr:col>3</xdr:col>
      <xdr:colOff>18859</xdr:colOff>
      <xdr:row>17</xdr:row>
      <xdr:rowOff>114300</xdr:rowOff>
    </xdr:to>
    <mc:AlternateContent xmlns:mc="http://schemas.openxmlformats.org/markup-compatibility/2006" xmlns:a14="http://schemas.microsoft.com/office/drawing/2010/main">
      <mc:Choice Requires="a14">
        <xdr:graphicFrame macro="">
          <xdr:nvGraphicFramePr>
            <xdr:cNvPr id="6" name="City"/>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38315" y="1997073"/>
              <a:ext cx="1609344" cy="12700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238315</xdr:colOff>
      <xdr:row>17</xdr:row>
      <xdr:rowOff>142875</xdr:rowOff>
    </xdr:from>
    <xdr:to>
      <xdr:col>3</xdr:col>
      <xdr:colOff>18859</xdr:colOff>
      <xdr:row>24</xdr:row>
      <xdr:rowOff>95251</xdr:rowOff>
    </xdr:to>
    <mc:AlternateContent xmlns:mc="http://schemas.openxmlformats.org/markup-compatibility/2006" xmlns:a14="http://schemas.microsoft.com/office/drawing/2010/main">
      <mc:Choice Requires="a14">
        <xdr:graphicFrame macro="">
          <xdr:nvGraphicFramePr>
            <xdr:cNvPr id="7" name="Category"/>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38315" y="3295650"/>
              <a:ext cx="1609344"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238125</xdr:colOff>
      <xdr:row>2</xdr:row>
      <xdr:rowOff>152400</xdr:rowOff>
    </xdr:from>
    <xdr:to>
      <xdr:col>3</xdr:col>
      <xdr:colOff>19049</xdr:colOff>
      <xdr:row>6</xdr:row>
      <xdr:rowOff>114300</xdr:rowOff>
    </xdr:to>
    <mc:AlternateContent xmlns:mc="http://schemas.openxmlformats.org/markup-compatibility/2006" xmlns:a14="http://schemas.microsoft.com/office/drawing/2010/main">
      <mc:Choice Requires="a14">
        <xdr:graphicFrame macro="">
          <xdr:nvGraphicFramePr>
            <xdr:cNvPr id="8" name="Years"/>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238125" y="485775"/>
              <a:ext cx="1609724"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209550</xdr:colOff>
      <xdr:row>12</xdr:row>
      <xdr:rowOff>1</xdr:rowOff>
    </xdr:from>
    <xdr:to>
      <xdr:col>6</xdr:col>
      <xdr:colOff>419099</xdr:colOff>
      <xdr:row>22</xdr:row>
      <xdr:rowOff>161925</xdr:rowOff>
    </xdr:to>
    <xdr:graphicFrame macro="">
      <xdr:nvGraphicFramePr>
        <xdr:cNvPr id="9" name="SalesPieE"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581025</xdr:colOff>
      <xdr:row>12</xdr:row>
      <xdr:rowOff>95249</xdr:rowOff>
    </xdr:from>
    <xdr:to>
      <xdr:col>10</xdr:col>
      <xdr:colOff>133350</xdr:colOff>
      <xdr:row>22</xdr:row>
      <xdr:rowOff>180975</xdr:rowOff>
    </xdr:to>
    <xdr:graphicFrame macro="">
      <xdr:nvGraphicFramePr>
        <xdr:cNvPr id="13" name="SalespieW"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295275</xdr:colOff>
      <xdr:row>15</xdr:row>
      <xdr:rowOff>114300</xdr:rowOff>
    </xdr:from>
    <xdr:to>
      <xdr:col>5</xdr:col>
      <xdr:colOff>485775</xdr:colOff>
      <xdr:row>17</xdr:row>
      <xdr:rowOff>104775</xdr:rowOff>
    </xdr:to>
    <xdr:sp macro="" textlink="">
      <xdr:nvSpPr>
        <xdr:cNvPr id="3" name="TextBox 2"/>
        <xdr:cNvSpPr txBox="1"/>
      </xdr:nvSpPr>
      <xdr:spPr>
        <a:xfrm>
          <a:off x="2733675" y="2886075"/>
          <a:ext cx="80010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accent3">
                  <a:lumMod val="60000"/>
                  <a:lumOff val="40000"/>
                </a:schemeClr>
              </a:solidFill>
              <a:latin typeface="Times New Roman" panose="02020603050405020304" pitchFamily="18" charset="0"/>
              <a:cs typeface="Times New Roman" panose="02020603050405020304" pitchFamily="18" charset="0"/>
            </a:rPr>
            <a:t>EAST</a:t>
          </a:r>
        </a:p>
      </xdr:txBody>
    </xdr:sp>
    <xdr:clientData/>
  </xdr:twoCellAnchor>
  <xdr:twoCellAnchor>
    <xdr:from>
      <xdr:col>4</xdr:col>
      <xdr:colOff>228600</xdr:colOff>
      <xdr:row>17</xdr:row>
      <xdr:rowOff>57151</xdr:rowOff>
    </xdr:from>
    <xdr:to>
      <xdr:col>5</xdr:col>
      <xdr:colOff>466725</xdr:colOff>
      <xdr:row>19</xdr:row>
      <xdr:rowOff>76201</xdr:rowOff>
    </xdr:to>
    <xdr:sp macro="" textlink="'Pie Chart'!G4">
      <xdr:nvSpPr>
        <xdr:cNvPr id="11" name="SalestextE" hidden="1"/>
        <xdr:cNvSpPr txBox="1"/>
      </xdr:nvSpPr>
      <xdr:spPr>
        <a:xfrm>
          <a:off x="2667000" y="3209926"/>
          <a:ext cx="84772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17D5C35-F2F0-4DE0-AA52-4798FC670CE3}" type="TxLink">
            <a:rPr lang="en-US" sz="1600" b="0" i="0" u="none" strike="noStrike">
              <a:solidFill>
                <a:schemeClr val="accent3">
                  <a:lumMod val="60000"/>
                  <a:lumOff val="40000"/>
                </a:schemeClr>
              </a:solidFill>
              <a:latin typeface="Times New Roman" panose="02020603050405020304" pitchFamily="18" charset="0"/>
              <a:cs typeface="Times New Roman" panose="02020603050405020304" pitchFamily="18" charset="0"/>
            </a:rPr>
            <a:pPr algn="ctr"/>
            <a:t>67.4%</a:t>
          </a:fld>
          <a:endParaRPr lang="en-US" sz="2400">
            <a:solidFill>
              <a:schemeClr val="accent3">
                <a:lumMod val="60000"/>
                <a:lumOff val="40000"/>
              </a:schemeClr>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57150</xdr:colOff>
      <xdr:row>15</xdr:row>
      <xdr:rowOff>133350</xdr:rowOff>
    </xdr:from>
    <xdr:to>
      <xdr:col>9</xdr:col>
      <xdr:colOff>247650</xdr:colOff>
      <xdr:row>17</xdr:row>
      <xdr:rowOff>123825</xdr:rowOff>
    </xdr:to>
    <xdr:sp macro="" textlink="">
      <xdr:nvSpPr>
        <xdr:cNvPr id="14" name="TextBox 13"/>
        <xdr:cNvSpPr txBox="1"/>
      </xdr:nvSpPr>
      <xdr:spPr>
        <a:xfrm>
          <a:off x="4933950" y="2905125"/>
          <a:ext cx="80010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accent6">
                  <a:lumMod val="60000"/>
                  <a:lumOff val="40000"/>
                </a:schemeClr>
              </a:solidFill>
              <a:latin typeface="Times New Roman" panose="02020603050405020304" pitchFamily="18" charset="0"/>
              <a:cs typeface="Times New Roman" panose="02020603050405020304" pitchFamily="18" charset="0"/>
            </a:rPr>
            <a:t>WEST</a:t>
          </a:r>
        </a:p>
      </xdr:txBody>
    </xdr:sp>
    <xdr:clientData/>
  </xdr:twoCellAnchor>
  <xdr:twoCellAnchor>
    <xdr:from>
      <xdr:col>8</xdr:col>
      <xdr:colOff>19050</xdr:colOff>
      <xdr:row>17</xdr:row>
      <xdr:rowOff>57151</xdr:rowOff>
    </xdr:from>
    <xdr:to>
      <xdr:col>9</xdr:col>
      <xdr:colOff>257175</xdr:colOff>
      <xdr:row>19</xdr:row>
      <xdr:rowOff>76201</xdr:rowOff>
    </xdr:to>
    <xdr:sp macro="" textlink="'Pie Chart'!G5">
      <xdr:nvSpPr>
        <xdr:cNvPr id="15" name="SalestextW" hidden="1"/>
        <xdr:cNvSpPr txBox="1"/>
      </xdr:nvSpPr>
      <xdr:spPr>
        <a:xfrm>
          <a:off x="4895850" y="3209926"/>
          <a:ext cx="84772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2DFF5D2-3E12-44EF-9AB1-FD8EAE365CCC}" type="TxLink">
            <a:rPr lang="en-US" sz="1600" b="0" i="0" u="none" strike="noStrike">
              <a:solidFill>
                <a:schemeClr val="accent6">
                  <a:lumMod val="60000"/>
                  <a:lumOff val="40000"/>
                </a:schemeClr>
              </a:solidFill>
              <a:latin typeface="Calibri"/>
              <a:cs typeface="Calibri"/>
            </a:rPr>
            <a:pPr algn="ctr"/>
            <a:t>32.6%</a:t>
          </a:fld>
          <a:endParaRPr lang="en-US" sz="1600">
            <a:solidFill>
              <a:schemeClr val="accent6">
                <a:lumMod val="60000"/>
                <a:lumOff val="40000"/>
              </a:schemeClr>
            </a:solidFill>
          </a:endParaRPr>
        </a:p>
      </xdr:txBody>
    </xdr:sp>
    <xdr:clientData/>
  </xdr:twoCellAnchor>
  <xdr:twoCellAnchor>
    <xdr:from>
      <xdr:col>10</xdr:col>
      <xdr:colOff>476251</xdr:colOff>
      <xdr:row>2</xdr:row>
      <xdr:rowOff>104774</xdr:rowOff>
    </xdr:from>
    <xdr:to>
      <xdr:col>15</xdr:col>
      <xdr:colOff>323850</xdr:colOff>
      <xdr:row>24</xdr:row>
      <xdr:rowOff>114299</xdr:rowOff>
    </xdr:to>
    <xdr:sp macro="" textlink="">
      <xdr:nvSpPr>
        <xdr:cNvPr id="16" name="Trend Frame"/>
        <xdr:cNvSpPr/>
      </xdr:nvSpPr>
      <xdr:spPr>
        <a:xfrm>
          <a:off x="6572251" y="485774"/>
          <a:ext cx="2895599" cy="4114800"/>
        </a:xfrm>
        <a:prstGeom prst="rect">
          <a:avLst/>
        </a:prstGeom>
        <a:gradFill flip="none" rotWithShape="1">
          <a:gsLst>
            <a:gs pos="0">
              <a:srgbClr val="A60AE4">
                <a:alpha val="72000"/>
                <a:lumMod val="60000"/>
              </a:srgbClr>
            </a:gs>
            <a:gs pos="58000">
              <a:srgbClr val="A60AE4">
                <a:alpha val="49000"/>
              </a:srgbClr>
            </a:gs>
            <a:gs pos="100000">
              <a:srgbClr val="C835D7">
                <a:alpha val="43000"/>
              </a:srgbClr>
            </a:gs>
          </a:gsLst>
          <a:lin ang="2700000" scaled="1"/>
          <a:tileRect/>
        </a:gradFill>
        <a:ln>
          <a:noFill/>
        </a:ln>
        <a:effectLst>
          <a:glow rad="63500">
            <a:schemeClr val="bg2">
              <a:lumMod val="90000"/>
              <a:alpha val="35000"/>
            </a:schemeClr>
          </a:glow>
          <a:innerShdw blurRad="63500" dist="50800" dir="135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561976</xdr:colOff>
      <xdr:row>3</xdr:row>
      <xdr:rowOff>76199</xdr:rowOff>
    </xdr:from>
    <xdr:to>
      <xdr:col>15</xdr:col>
      <xdr:colOff>76200</xdr:colOff>
      <xdr:row>23</xdr:row>
      <xdr:rowOff>66674</xdr:rowOff>
    </xdr:to>
    <xdr:graphicFrame macro="">
      <xdr:nvGraphicFramePr>
        <xdr:cNvPr id="17" name="SalesProduc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438151</xdr:colOff>
      <xdr:row>2</xdr:row>
      <xdr:rowOff>95249</xdr:rowOff>
    </xdr:from>
    <xdr:to>
      <xdr:col>20</xdr:col>
      <xdr:colOff>285750</xdr:colOff>
      <xdr:row>24</xdr:row>
      <xdr:rowOff>104774</xdr:rowOff>
    </xdr:to>
    <xdr:sp macro="" textlink="">
      <xdr:nvSpPr>
        <xdr:cNvPr id="19" name="Trend Frame"/>
        <xdr:cNvSpPr/>
      </xdr:nvSpPr>
      <xdr:spPr>
        <a:xfrm>
          <a:off x="9582151" y="476249"/>
          <a:ext cx="2895599" cy="4114800"/>
        </a:xfrm>
        <a:prstGeom prst="rect">
          <a:avLst/>
        </a:prstGeom>
        <a:gradFill flip="none" rotWithShape="1">
          <a:gsLst>
            <a:gs pos="0">
              <a:srgbClr val="A60AE4">
                <a:alpha val="72000"/>
                <a:lumMod val="60000"/>
              </a:srgbClr>
            </a:gs>
            <a:gs pos="58000">
              <a:srgbClr val="A60AE4">
                <a:alpha val="49000"/>
              </a:srgbClr>
            </a:gs>
            <a:gs pos="100000">
              <a:srgbClr val="C835D7">
                <a:alpha val="43000"/>
              </a:srgbClr>
            </a:gs>
          </a:gsLst>
          <a:lin ang="2700000" scaled="1"/>
          <a:tileRect/>
        </a:gradFill>
        <a:ln>
          <a:noFill/>
        </a:ln>
        <a:effectLst>
          <a:glow rad="63500">
            <a:schemeClr val="bg2">
              <a:lumMod val="90000"/>
              <a:alpha val="35000"/>
            </a:schemeClr>
          </a:glow>
          <a:innerShdw blurRad="63500" dist="50800" dir="135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542925</xdr:colOff>
      <xdr:row>3</xdr:row>
      <xdr:rowOff>161925</xdr:rowOff>
    </xdr:from>
    <xdr:to>
      <xdr:col>20</xdr:col>
      <xdr:colOff>180974</xdr:colOff>
      <xdr:row>23</xdr:row>
      <xdr:rowOff>66675</xdr:rowOff>
    </xdr:to>
    <xdr:graphicFrame macro="">
      <xdr:nvGraphicFramePr>
        <xdr:cNvPr id="20" name="SalesCategory"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200025</xdr:colOff>
      <xdr:row>3</xdr:row>
      <xdr:rowOff>38100</xdr:rowOff>
    </xdr:from>
    <xdr:to>
      <xdr:col>10</xdr:col>
      <xdr:colOff>219075</xdr:colOff>
      <xdr:row>10</xdr:row>
      <xdr:rowOff>47624</xdr:rowOff>
    </xdr:to>
    <xdr:graphicFrame macro="">
      <xdr:nvGraphicFramePr>
        <xdr:cNvPr id="22" name="SalesLine"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190499</xdr:colOff>
      <xdr:row>3</xdr:row>
      <xdr:rowOff>85725</xdr:rowOff>
    </xdr:from>
    <xdr:to>
      <xdr:col>10</xdr:col>
      <xdr:colOff>276224</xdr:colOff>
      <xdr:row>10</xdr:row>
      <xdr:rowOff>76200</xdr:rowOff>
    </xdr:to>
    <xdr:graphicFrame macro="">
      <xdr:nvGraphicFramePr>
        <xdr:cNvPr id="23" name="Profit 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219075</xdr:colOff>
      <xdr:row>12</xdr:row>
      <xdr:rowOff>47625</xdr:rowOff>
    </xdr:from>
    <xdr:to>
      <xdr:col>6</xdr:col>
      <xdr:colOff>429387</xdr:colOff>
      <xdr:row>23</xdr:row>
      <xdr:rowOff>18669</xdr:rowOff>
    </xdr:to>
    <xdr:graphicFrame macro="">
      <xdr:nvGraphicFramePr>
        <xdr:cNvPr id="24" name="Profitpie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571500</xdr:colOff>
      <xdr:row>12</xdr:row>
      <xdr:rowOff>28575</xdr:rowOff>
    </xdr:from>
    <xdr:to>
      <xdr:col>10</xdr:col>
      <xdr:colOff>236220</xdr:colOff>
      <xdr:row>22</xdr:row>
      <xdr:rowOff>190119</xdr:rowOff>
    </xdr:to>
    <xdr:graphicFrame macro="">
      <xdr:nvGraphicFramePr>
        <xdr:cNvPr id="25" name="Profitpie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219075</xdr:colOff>
      <xdr:row>17</xdr:row>
      <xdr:rowOff>57151</xdr:rowOff>
    </xdr:from>
    <xdr:to>
      <xdr:col>5</xdr:col>
      <xdr:colOff>457200</xdr:colOff>
      <xdr:row>19</xdr:row>
      <xdr:rowOff>76201</xdr:rowOff>
    </xdr:to>
    <xdr:sp macro="" textlink="'Profit Pie'!$H$5">
      <xdr:nvSpPr>
        <xdr:cNvPr id="26" name="ProfittextE"/>
        <xdr:cNvSpPr txBox="1"/>
      </xdr:nvSpPr>
      <xdr:spPr>
        <a:xfrm>
          <a:off x="2657475" y="3209926"/>
          <a:ext cx="84772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CE90DEE-B2EC-492F-8B02-70BDBC44AEEE}" type="TxLink">
            <a:rPr lang="en-US" sz="1600" b="0" i="0" u="none" strike="noStrike">
              <a:solidFill>
                <a:schemeClr val="accent3">
                  <a:lumMod val="60000"/>
                  <a:lumOff val="40000"/>
                </a:schemeClr>
              </a:solidFill>
              <a:latin typeface="Times New Roman" panose="02020603050405020304" pitchFamily="18" charset="0"/>
              <a:cs typeface="Times New Roman" panose="02020603050405020304" pitchFamily="18" charset="0"/>
            </a:rPr>
            <a:pPr algn="ctr"/>
            <a:t>66.7%</a:t>
          </a:fld>
          <a:endParaRPr lang="en-US" sz="3600">
            <a:solidFill>
              <a:schemeClr val="accent3">
                <a:lumMod val="60000"/>
                <a:lumOff val="40000"/>
              </a:schemeClr>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19050</xdr:colOff>
      <xdr:row>17</xdr:row>
      <xdr:rowOff>57151</xdr:rowOff>
    </xdr:from>
    <xdr:to>
      <xdr:col>9</xdr:col>
      <xdr:colOff>257175</xdr:colOff>
      <xdr:row>19</xdr:row>
      <xdr:rowOff>76201</xdr:rowOff>
    </xdr:to>
    <xdr:sp macro="" textlink="'Profit Pie'!$H$4">
      <xdr:nvSpPr>
        <xdr:cNvPr id="27" name="Profittextw"/>
        <xdr:cNvSpPr txBox="1"/>
      </xdr:nvSpPr>
      <xdr:spPr>
        <a:xfrm>
          <a:off x="4895850" y="3209926"/>
          <a:ext cx="84772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36975BC-BC86-40E9-929C-FCAFDA400A72}" type="TxLink">
            <a:rPr lang="en-US" sz="1600" b="0" i="0" u="none" strike="noStrike">
              <a:solidFill>
                <a:srgbClr val="F5D477"/>
              </a:solidFill>
              <a:latin typeface="Times New Roman" panose="02020603050405020304" pitchFamily="18" charset="0"/>
              <a:cs typeface="Times New Roman" panose="02020603050405020304" pitchFamily="18" charset="0"/>
            </a:rPr>
            <a:pPr algn="ctr"/>
            <a:t>33.3%</a:t>
          </a:fld>
          <a:endParaRPr lang="en-US" sz="1600">
            <a:solidFill>
              <a:srgbClr val="F5D477"/>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476252</xdr:colOff>
      <xdr:row>3</xdr:row>
      <xdr:rowOff>57150</xdr:rowOff>
    </xdr:from>
    <xdr:to>
      <xdr:col>15</xdr:col>
      <xdr:colOff>180975</xdr:colOff>
      <xdr:row>23</xdr:row>
      <xdr:rowOff>76200</xdr:rowOff>
    </xdr:to>
    <xdr:graphicFrame macro="">
      <xdr:nvGraphicFramePr>
        <xdr:cNvPr id="28" name="Profitproduc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495300</xdr:colOff>
      <xdr:row>3</xdr:row>
      <xdr:rowOff>161925</xdr:rowOff>
    </xdr:from>
    <xdr:to>
      <xdr:col>20</xdr:col>
      <xdr:colOff>223838</xdr:colOff>
      <xdr:row>23</xdr:row>
      <xdr:rowOff>57150</xdr:rowOff>
    </xdr:to>
    <xdr:graphicFrame macro="">
      <xdr:nvGraphicFramePr>
        <xdr:cNvPr id="29" name="Profitcategor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66675</xdr:colOff>
      <xdr:row>0</xdr:row>
      <xdr:rowOff>114300</xdr:rowOff>
    </xdr:from>
    <xdr:to>
      <xdr:col>4</xdr:col>
      <xdr:colOff>304800</xdr:colOff>
      <xdr:row>1</xdr:row>
      <xdr:rowOff>171450</xdr:rowOff>
    </xdr:to>
    <xdr:sp macro="[0]!Sales" textlink="">
      <xdr:nvSpPr>
        <xdr:cNvPr id="12" name="Salesbutton"/>
        <xdr:cNvSpPr/>
      </xdr:nvSpPr>
      <xdr:spPr>
        <a:xfrm>
          <a:off x="1895475" y="114300"/>
          <a:ext cx="847725" cy="247650"/>
        </a:xfrm>
        <a:prstGeom prst="roundRect">
          <a:avLst/>
        </a:prstGeom>
        <a:solidFill>
          <a:schemeClr val="bg1">
            <a:lumMod val="75000"/>
          </a:schemeClr>
        </a:solidFill>
        <a:ln w="25400" cap="flat" cmpd="sng" algn="ctr">
          <a:noFill/>
          <a:prstDash val="solid"/>
          <a:round/>
          <a:headEnd type="none" w="med" len="med"/>
          <a:tailEnd type="none" w="med" len="med"/>
        </a:ln>
        <a:effectLst/>
        <a:extLst>
          <a:ext uri="{91240B29-F687-4F45-9708-019B960494DF}">
            <a14:hiddenLine xmlns:a14="http://schemas.microsoft.com/office/drawing/2010/main" w="25400" cap="flat" cmpd="sng" algn="ctr">
              <a:solidFill>
                <a:srgbClr val="A60AE4"/>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ysClr val="windowText" lastClr="000000"/>
              </a:solidFill>
            </a:rPr>
            <a:t>Sales</a:t>
          </a:r>
          <a:endParaRPr lang="en-US" sz="1100">
            <a:solidFill>
              <a:sysClr val="windowText" lastClr="000000"/>
            </a:solidFill>
          </a:endParaRPr>
        </a:p>
      </xdr:txBody>
    </xdr:sp>
    <xdr:clientData/>
  </xdr:twoCellAnchor>
  <xdr:twoCellAnchor>
    <xdr:from>
      <xdr:col>4</xdr:col>
      <xdr:colOff>381000</xdr:colOff>
      <xdr:row>0</xdr:row>
      <xdr:rowOff>114300</xdr:rowOff>
    </xdr:from>
    <xdr:to>
      <xdr:col>6</xdr:col>
      <xdr:colOff>9525</xdr:colOff>
      <xdr:row>1</xdr:row>
      <xdr:rowOff>171450</xdr:rowOff>
    </xdr:to>
    <xdr:sp macro="[0]!Profit" textlink="">
      <xdr:nvSpPr>
        <xdr:cNvPr id="30" name="Profitbutton"/>
        <xdr:cNvSpPr/>
      </xdr:nvSpPr>
      <xdr:spPr>
        <a:xfrm>
          <a:off x="2819400" y="114300"/>
          <a:ext cx="847725" cy="247650"/>
        </a:xfrm>
        <a:prstGeom prst="roundRect">
          <a:avLst/>
        </a:prstGeom>
        <a:solidFill>
          <a:schemeClr val="bg1">
            <a:lumMod val="75000"/>
          </a:schemeClr>
        </a:solidFill>
        <a:ln w="25400" cap="flat" cmpd="sng" algn="ctr">
          <a:solidFill>
            <a:srgbClr val="A60AE4"/>
          </a:solidFill>
          <a:prstDash val="solid"/>
          <a:round/>
          <a:headEnd type="none" w="med" len="med"/>
          <a:tailEnd type="none" w="med" len="med"/>
        </a:ln>
        <a:effectLs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ysClr val="windowText" lastClr="000000"/>
              </a:solidFill>
            </a:rPr>
            <a:t>Profit</a:t>
          </a:r>
          <a:endParaRPr lang="en-US"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690562</xdr:colOff>
      <xdr:row>7</xdr:row>
      <xdr:rowOff>47625</xdr:rowOff>
    </xdr:from>
    <xdr:to>
      <xdr:col>4</xdr:col>
      <xdr:colOff>847725</xdr:colOff>
      <xdr:row>21</xdr:row>
      <xdr:rowOff>123825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823912</xdr:colOff>
      <xdr:row>6</xdr:row>
      <xdr:rowOff>47625</xdr:rowOff>
    </xdr:from>
    <xdr:to>
      <xdr:col>9</xdr:col>
      <xdr:colOff>7048</xdr:colOff>
      <xdr:row>13</xdr:row>
      <xdr:rowOff>58293</xdr:rowOff>
    </xdr:to>
    <xdr:graphicFrame macro="">
      <xdr:nvGraphicFramePr>
        <xdr:cNvPr id="2" name="Profit Lin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142875</xdr:colOff>
      <xdr:row>6</xdr:row>
      <xdr:rowOff>57150</xdr:rowOff>
    </xdr:from>
    <xdr:to>
      <xdr:col>16</xdr:col>
      <xdr:colOff>161925</xdr:colOff>
      <xdr:row>13</xdr:row>
      <xdr:rowOff>66674</xdr:rowOff>
    </xdr:to>
    <xdr:graphicFrame macro="">
      <xdr:nvGraphicFramePr>
        <xdr:cNvPr id="3" name="Sales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638175</xdr:colOff>
      <xdr:row>10</xdr:row>
      <xdr:rowOff>114299</xdr:rowOff>
    </xdr:from>
    <xdr:to>
      <xdr:col>4</xdr:col>
      <xdr:colOff>353187</xdr:colOff>
      <xdr:row>21</xdr:row>
      <xdr:rowOff>85343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100012</xdr:colOff>
      <xdr:row>10</xdr:row>
      <xdr:rowOff>95249</xdr:rowOff>
    </xdr:from>
    <xdr:to>
      <xdr:col>8</xdr:col>
      <xdr:colOff>374332</xdr:colOff>
      <xdr:row>21</xdr:row>
      <xdr:rowOff>66293</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od" refreshedDate="44594.927457638893" createdVersion="6" refreshedVersion="6" minRefreshableVersion="3" recordCount="244">
  <cacheSource type="worksheet">
    <worksheetSource name="Sales_Data"/>
  </cacheSource>
  <cacheFields count="11">
    <cacheField name="OrderDate" numFmtId="14">
      <sharedItems containsSemiMixedTypes="0" containsNonDate="0" containsDate="1" containsString="0" minDate="2020-01-01T00:00:00" maxDate="2021-12-31T00:00:00" count="244">
        <d v="2020-01-01T00:00:00"/>
        <d v="2020-01-04T00:00:00"/>
        <d v="2020-01-07T00:00:00"/>
        <d v="2020-01-10T00:00:00"/>
        <d v="2020-01-13T00:00:00"/>
        <d v="2020-01-16T00:00:00"/>
        <d v="2020-01-19T00:00:00"/>
        <d v="2020-01-22T00:00:00"/>
        <d v="2020-01-25T00:00:00"/>
        <d v="2020-01-28T00:00:00"/>
        <d v="2020-01-31T00:00:00"/>
        <d v="2020-02-03T00:00:00"/>
        <d v="2020-02-06T00:00:00"/>
        <d v="2020-02-09T00:00:00"/>
        <d v="2020-02-12T00:00:00"/>
        <d v="2020-02-15T00:00:00"/>
        <d v="2020-02-18T00:00:00"/>
        <d v="2020-02-21T00:00:00"/>
        <d v="2020-02-24T00:00:00"/>
        <d v="2020-02-27T00:00:00"/>
        <d v="2020-03-02T00:00:00"/>
        <d v="2020-03-05T00:00:00"/>
        <d v="2020-03-08T00:00:00"/>
        <d v="2020-03-11T00:00:00"/>
        <d v="2020-03-14T00:00:00"/>
        <d v="2020-03-17T00:00:00"/>
        <d v="2020-03-20T00:00:00"/>
        <d v="2020-03-23T00:00:00"/>
        <d v="2020-03-26T00:00:00"/>
        <d v="2020-03-29T00:00:00"/>
        <d v="2020-04-01T00:00:00"/>
        <d v="2020-04-04T00:00:00"/>
        <d v="2020-04-07T00:00:00"/>
        <d v="2020-04-10T00:00:00"/>
        <d v="2020-04-13T00:00:00"/>
        <d v="2020-04-16T00:00:00"/>
        <d v="2020-04-19T00:00:00"/>
        <d v="2020-04-22T00:00:00"/>
        <d v="2020-04-25T00:00:00"/>
        <d v="2020-04-28T00:00:00"/>
        <d v="2020-05-01T00:00:00"/>
        <d v="2020-05-04T00:00:00"/>
        <d v="2020-05-07T00:00:00"/>
        <d v="2020-05-10T00:00:00"/>
        <d v="2020-05-13T00:00:00"/>
        <d v="2020-05-16T00:00:00"/>
        <d v="2020-05-19T00:00:00"/>
        <d v="2020-05-22T00:00:00"/>
        <d v="2020-05-25T00:00:00"/>
        <d v="2020-05-28T00:00:00"/>
        <d v="2020-05-31T00:00:00"/>
        <d v="2020-06-03T00:00:00"/>
        <d v="2020-06-06T00:00:00"/>
        <d v="2020-06-09T00:00:00"/>
        <d v="2020-06-12T00:00:00"/>
        <d v="2020-06-15T00:00:00"/>
        <d v="2020-06-18T00:00:00"/>
        <d v="2020-06-21T00:00:00"/>
        <d v="2020-06-24T00:00:00"/>
        <d v="2020-06-27T00:00:00"/>
        <d v="2020-06-30T00:00:00"/>
        <d v="2020-07-03T00:00:00"/>
        <d v="2020-07-06T00:00:00"/>
        <d v="2020-07-09T00:00:00"/>
        <d v="2020-07-12T00:00:00"/>
        <d v="2020-07-15T00:00:00"/>
        <d v="2020-07-18T00:00:00"/>
        <d v="2020-07-21T00:00:00"/>
        <d v="2020-07-24T00:00:00"/>
        <d v="2020-07-27T00:00:00"/>
        <d v="2020-07-30T00:00:00"/>
        <d v="2020-08-02T00:00:00"/>
        <d v="2020-08-05T00:00:00"/>
        <d v="2020-08-08T00:00:00"/>
        <d v="2020-08-11T00:00:00"/>
        <d v="2020-08-14T00:00:00"/>
        <d v="2020-08-17T00:00:00"/>
        <d v="2020-08-20T00:00:00"/>
        <d v="2020-08-23T00:00:00"/>
        <d v="2020-08-26T00:00:00"/>
        <d v="2020-08-29T00:00:00"/>
        <d v="2020-09-01T00:00:00"/>
        <d v="2020-09-04T00:00:00"/>
        <d v="2020-09-07T00:00:00"/>
        <d v="2020-09-10T00:00:00"/>
        <d v="2020-09-13T00:00:00"/>
        <d v="2020-09-16T00:00:00"/>
        <d v="2020-09-19T00:00:00"/>
        <d v="2020-09-22T00:00:00"/>
        <d v="2020-09-25T00:00:00"/>
        <d v="2020-09-28T00:00:00"/>
        <d v="2020-10-01T00:00:00"/>
        <d v="2020-10-04T00:00:00"/>
        <d v="2020-10-07T00:00:00"/>
        <d v="2020-10-10T00:00:00"/>
        <d v="2020-10-13T00:00:00"/>
        <d v="2020-10-16T00:00:00"/>
        <d v="2020-10-19T00:00:00"/>
        <d v="2020-10-22T00:00:00"/>
        <d v="2020-10-25T00:00:00"/>
        <d v="2020-10-28T00:00:00"/>
        <d v="2020-10-31T00:00:00"/>
        <d v="2020-11-03T00:00:00"/>
        <d v="2020-11-06T00:00:00"/>
        <d v="2020-11-09T00:00:00"/>
        <d v="2020-11-12T00:00:00"/>
        <d v="2020-11-15T00:00:00"/>
        <d v="2020-11-18T00:00:00"/>
        <d v="2020-11-21T00:00:00"/>
        <d v="2020-11-24T00:00:00"/>
        <d v="2020-11-27T00:00:00"/>
        <d v="2020-11-30T00:00:00"/>
        <d v="2020-12-03T00:00:00"/>
        <d v="2020-12-06T00:00:00"/>
        <d v="2020-12-09T00:00:00"/>
        <d v="2020-12-12T00:00:00"/>
        <d v="2020-12-15T00:00:00"/>
        <d v="2020-12-18T00:00:00"/>
        <d v="2020-12-21T00:00:00"/>
        <d v="2020-12-24T00:00:00"/>
        <d v="2020-12-27T00:00:00"/>
        <d v="2020-12-30T00:00:00"/>
        <d v="2021-01-02T00:00:00"/>
        <d v="2021-01-05T00:00:00"/>
        <d v="2021-01-08T00:00:00"/>
        <d v="2021-01-11T00:00:00"/>
        <d v="2021-01-14T00:00:00"/>
        <d v="2021-01-17T00:00:00"/>
        <d v="2021-01-20T00:00:00"/>
        <d v="2021-01-23T00:00:00"/>
        <d v="2021-01-26T00:00:00"/>
        <d v="2021-01-29T00:00:00"/>
        <d v="2021-02-01T00:00:00"/>
        <d v="2021-02-04T00:00:00"/>
        <d v="2021-02-07T00:00:00"/>
        <d v="2021-02-10T00:00:00"/>
        <d v="2021-02-13T00:00:00"/>
        <d v="2021-02-16T00:00:00"/>
        <d v="2021-02-19T00:00:00"/>
        <d v="2021-02-22T00:00:00"/>
        <d v="2021-02-25T00:00:00"/>
        <d v="2021-02-28T00:00:00"/>
        <d v="2021-03-02T00:00:00"/>
        <d v="2021-03-05T00:00:00"/>
        <d v="2021-03-08T00:00:00"/>
        <d v="2021-03-11T00:00:00"/>
        <d v="2021-03-14T00:00:00"/>
        <d v="2021-03-17T00:00:00"/>
        <d v="2021-03-20T00:00:00"/>
        <d v="2021-03-23T00:00:00"/>
        <d v="2021-03-26T00:00:00"/>
        <d v="2021-03-29T00:00:00"/>
        <d v="2021-04-01T00:00:00"/>
        <d v="2021-04-04T00:00:00"/>
        <d v="2021-04-07T00:00:00"/>
        <d v="2021-04-10T00:00:00"/>
        <d v="2021-04-13T00:00:00"/>
        <d v="2021-04-16T00:00:00"/>
        <d v="2021-04-19T00:00:00"/>
        <d v="2021-04-22T00:00:00"/>
        <d v="2021-04-25T00:00:00"/>
        <d v="2021-04-28T00:00:00"/>
        <d v="2021-05-01T00:00:00"/>
        <d v="2021-05-04T00:00:00"/>
        <d v="2021-05-07T00:00:00"/>
        <d v="2021-05-10T00:00:00"/>
        <d v="2021-05-13T00:00:00"/>
        <d v="2021-05-16T00:00:00"/>
        <d v="2021-05-19T00:00:00"/>
        <d v="2021-05-22T00:00:00"/>
        <d v="2021-05-25T00:00:00"/>
        <d v="2021-05-28T00:00:00"/>
        <d v="2021-05-31T00:00:00"/>
        <d v="2021-06-03T00:00:00"/>
        <d v="2021-06-06T00:00:00"/>
        <d v="2021-06-09T00:00:00"/>
        <d v="2021-06-12T00:00:00"/>
        <d v="2021-06-15T00:00:00"/>
        <d v="2021-06-18T00:00:00"/>
        <d v="2021-06-21T00:00:00"/>
        <d v="2021-06-24T00:00:00"/>
        <d v="2021-06-27T00:00:00"/>
        <d v="2021-06-30T00:00:00"/>
        <d v="2021-07-03T00:00:00"/>
        <d v="2021-07-06T00:00:00"/>
        <d v="2021-07-09T00:00:00"/>
        <d v="2021-07-12T00:00:00"/>
        <d v="2021-07-15T00:00:00"/>
        <d v="2021-07-18T00:00:00"/>
        <d v="2021-07-21T00:00:00"/>
        <d v="2021-07-24T00:00:00"/>
        <d v="2021-07-27T00:00:00"/>
        <d v="2021-07-30T00:00:00"/>
        <d v="2021-08-02T00:00:00"/>
        <d v="2021-08-05T00:00:00"/>
        <d v="2021-08-08T00:00:00"/>
        <d v="2021-08-11T00:00:00"/>
        <d v="2021-08-14T00:00:00"/>
        <d v="2021-08-17T00:00:00"/>
        <d v="2021-08-20T00:00:00"/>
        <d v="2021-08-23T00:00:00"/>
        <d v="2021-08-26T00:00:00"/>
        <d v="2021-08-29T00:00:00"/>
        <d v="2021-09-01T00:00:00"/>
        <d v="2021-09-04T00:00:00"/>
        <d v="2021-09-07T00:00:00"/>
        <d v="2021-09-10T00:00:00"/>
        <d v="2021-09-13T00:00:00"/>
        <d v="2021-09-16T00:00:00"/>
        <d v="2021-09-19T00:00:00"/>
        <d v="2021-09-22T00:00:00"/>
        <d v="2021-09-25T00:00:00"/>
        <d v="2021-09-28T00:00:00"/>
        <d v="2021-10-01T00:00:00"/>
        <d v="2021-10-04T00:00:00"/>
        <d v="2021-10-07T00:00:00"/>
        <d v="2021-10-10T00:00:00"/>
        <d v="2021-10-13T00:00:00"/>
        <d v="2021-10-16T00:00:00"/>
        <d v="2021-10-19T00:00:00"/>
        <d v="2021-10-22T00:00:00"/>
        <d v="2021-10-25T00:00:00"/>
        <d v="2021-10-28T00:00:00"/>
        <d v="2021-10-31T00:00:00"/>
        <d v="2021-11-03T00:00:00"/>
        <d v="2021-11-06T00:00:00"/>
        <d v="2021-11-09T00:00:00"/>
        <d v="2021-11-12T00:00:00"/>
        <d v="2021-11-15T00:00:00"/>
        <d v="2021-11-18T00:00:00"/>
        <d v="2021-11-21T00:00:00"/>
        <d v="2021-11-24T00:00:00"/>
        <d v="2021-11-27T00:00:00"/>
        <d v="2021-11-30T00:00:00"/>
        <d v="2021-12-03T00:00:00"/>
        <d v="2021-12-06T00:00:00"/>
        <d v="2021-12-09T00:00:00"/>
        <d v="2021-12-12T00:00:00"/>
        <d v="2021-12-15T00:00:00"/>
        <d v="2021-12-18T00:00:00"/>
        <d v="2021-12-21T00:00:00"/>
        <d v="2021-12-24T00:00:00"/>
        <d v="2021-12-27T00:00:00"/>
        <d v="2021-12-30T00:00:00"/>
      </sharedItems>
      <fieldGroup par="10" base="0">
        <rangePr groupBy="months" startDate="2020-01-01T00:00:00" endDate="2021-12-31T00:00:00"/>
        <groupItems count="14">
          <s v="&lt;1/1/2020"/>
          <s v="Jan"/>
          <s v="Feb"/>
          <s v="Mar"/>
          <s v="Apr"/>
          <s v="May"/>
          <s v="Jun"/>
          <s v="Jul"/>
          <s v="Aug"/>
          <s v="Sep"/>
          <s v="Oct"/>
          <s v="Nov"/>
          <s v="Dec"/>
          <s v="&gt;12/31/2021"/>
        </groupItems>
      </fieldGroup>
    </cacheField>
    <cacheField name="Region" numFmtId="0">
      <sharedItems count="2">
        <s v="East"/>
        <s v="West"/>
      </sharedItems>
    </cacheField>
    <cacheField name="City" numFmtId="0">
      <sharedItems count="4">
        <s v="Boston"/>
        <s v="Los Angeles"/>
        <s v="New York"/>
        <s v="San Diego"/>
      </sharedItems>
    </cacheField>
    <cacheField name="Category" numFmtId="0">
      <sharedItems count="4">
        <s v="Bars"/>
        <s v="Crackers"/>
        <s v="Cookies"/>
        <s v="Snacks"/>
      </sharedItems>
    </cacheField>
    <cacheField name="Product" numFmtId="0">
      <sharedItems count="9">
        <s v="Carrot"/>
        <s v="Whole Wheat"/>
        <s v="Chocolate Chip"/>
        <s v="Arrowroot"/>
        <s v="Potato Chips"/>
        <s v="Oatmeal Raisin"/>
        <s v="Bran"/>
        <s v="Pretzels"/>
        <s v="Banana"/>
      </sharedItems>
    </cacheField>
    <cacheField name="Quantity" numFmtId="0">
      <sharedItems containsSemiMixedTypes="0" containsString="0" containsNumber="1" containsInteger="1" minValue="20" maxValue="306"/>
    </cacheField>
    <cacheField name="UnitPrice" numFmtId="0">
      <sharedItems containsSemiMixedTypes="0" containsString="0" containsNumber="1" minValue="1.35" maxValue="3.49"/>
    </cacheField>
    <cacheField name="TotalPrice" numFmtId="0">
      <sharedItems containsSemiMixedTypes="0" containsString="0" containsNumber="1" minValue="33.6" maxValue="817.92"/>
    </cacheField>
    <cacheField name="Profit" numFmtId="0">
      <sharedItems containsSemiMixedTypes="0" containsString="0" containsNumber="1" minValue="30.253500000000003" maxValue="785.20319999999992"/>
    </cacheField>
    <cacheField name="Quarters" numFmtId="0" databaseField="0">
      <fieldGroup base="0">
        <rangePr groupBy="quarters" startDate="2020-01-01T00:00:00" endDate="2021-12-31T00:00:00"/>
        <groupItems count="6">
          <s v="&lt;1/1/2020"/>
          <s v="Qtr1"/>
          <s v="Qtr2"/>
          <s v="Qtr3"/>
          <s v="Qtr4"/>
          <s v="&gt;12/31/2021"/>
        </groupItems>
      </fieldGroup>
    </cacheField>
    <cacheField name="Years" numFmtId="0" databaseField="0">
      <fieldGroup base="0">
        <rangePr groupBy="years" startDate="2020-01-01T00:00:00" endDate="2021-12-31T00:00:00"/>
        <groupItems count="4">
          <s v="&lt;1/1/2020"/>
          <s v="2020"/>
          <s v="2021"/>
          <s v="&gt;12/31/2021"/>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44">
  <r>
    <x v="0"/>
    <x v="0"/>
    <x v="0"/>
    <x v="0"/>
    <x v="0"/>
    <n v="33"/>
    <n v="1.7699999999999998"/>
    <n v="58.41"/>
    <n v="53.153099999999995"/>
  </r>
  <r>
    <x v="1"/>
    <x v="0"/>
    <x v="0"/>
    <x v="1"/>
    <x v="1"/>
    <n v="87"/>
    <n v="3.4899999999999998"/>
    <n v="303.63"/>
    <n v="248.97659999999999"/>
  </r>
  <r>
    <x v="2"/>
    <x v="1"/>
    <x v="1"/>
    <x v="2"/>
    <x v="2"/>
    <n v="58"/>
    <n v="1.8699999999999999"/>
    <n v="108.46"/>
    <n v="101.9524"/>
  </r>
  <r>
    <x v="3"/>
    <x v="0"/>
    <x v="2"/>
    <x v="2"/>
    <x v="2"/>
    <n v="82"/>
    <n v="1.87"/>
    <n v="153.34"/>
    <n v="151.8066"/>
  </r>
  <r>
    <x v="4"/>
    <x v="0"/>
    <x v="0"/>
    <x v="2"/>
    <x v="3"/>
    <n v="38"/>
    <n v="2.1800000000000002"/>
    <n v="82.84"/>
    <n v="79.52640000000001"/>
  </r>
  <r>
    <x v="5"/>
    <x v="0"/>
    <x v="0"/>
    <x v="0"/>
    <x v="0"/>
    <n v="54"/>
    <n v="1.77"/>
    <n v="95.58"/>
    <n v="86.977800000000002"/>
  </r>
  <r>
    <x v="6"/>
    <x v="0"/>
    <x v="0"/>
    <x v="1"/>
    <x v="1"/>
    <n v="149"/>
    <n v="3.4899999999999998"/>
    <n v="520.01"/>
    <n v="509.60980000000001"/>
  </r>
  <r>
    <x v="7"/>
    <x v="1"/>
    <x v="1"/>
    <x v="0"/>
    <x v="0"/>
    <n v="51"/>
    <n v="1.77"/>
    <n v="90.27"/>
    <n v="77.632199999999997"/>
  </r>
  <r>
    <x v="8"/>
    <x v="0"/>
    <x v="2"/>
    <x v="0"/>
    <x v="0"/>
    <n v="100"/>
    <n v="1.77"/>
    <n v="177"/>
    <n v="175.23"/>
  </r>
  <r>
    <x v="9"/>
    <x v="0"/>
    <x v="2"/>
    <x v="3"/>
    <x v="4"/>
    <n v="28"/>
    <n v="1.35"/>
    <n v="37.800000000000004"/>
    <n v="34.020000000000003"/>
  </r>
  <r>
    <x v="10"/>
    <x v="0"/>
    <x v="0"/>
    <x v="2"/>
    <x v="3"/>
    <n v="36"/>
    <n v="2.1800000000000002"/>
    <n v="78.48"/>
    <n v="64.3536"/>
  </r>
  <r>
    <x v="11"/>
    <x v="0"/>
    <x v="0"/>
    <x v="2"/>
    <x v="2"/>
    <n v="31"/>
    <n v="1.8699999999999999"/>
    <n v="57.97"/>
    <n v="48.115099999999998"/>
  </r>
  <r>
    <x v="12"/>
    <x v="0"/>
    <x v="0"/>
    <x v="1"/>
    <x v="1"/>
    <n v="28"/>
    <n v="3.4899999999999998"/>
    <n v="97.72"/>
    <n v="80.130399999999995"/>
  </r>
  <r>
    <x v="13"/>
    <x v="1"/>
    <x v="1"/>
    <x v="0"/>
    <x v="0"/>
    <n v="44"/>
    <n v="1.7699999999999998"/>
    <n v="77.88"/>
    <n v="64.6404"/>
  </r>
  <r>
    <x v="14"/>
    <x v="0"/>
    <x v="2"/>
    <x v="0"/>
    <x v="0"/>
    <n v="23"/>
    <n v="1.77"/>
    <n v="40.71"/>
    <n v="40.302900000000001"/>
  </r>
  <r>
    <x v="15"/>
    <x v="0"/>
    <x v="2"/>
    <x v="3"/>
    <x v="4"/>
    <n v="27"/>
    <n v="1.35"/>
    <n v="36.450000000000003"/>
    <n v="30.253500000000003"/>
  </r>
  <r>
    <x v="16"/>
    <x v="0"/>
    <x v="0"/>
    <x v="2"/>
    <x v="3"/>
    <n v="43"/>
    <n v="2.1799999999999997"/>
    <n v="93.739999999999981"/>
    <n v="76.866799999999984"/>
  </r>
  <r>
    <x v="17"/>
    <x v="0"/>
    <x v="0"/>
    <x v="2"/>
    <x v="5"/>
    <n v="123"/>
    <n v="2.84"/>
    <n v="349.32"/>
    <n v="296.92199999999997"/>
  </r>
  <r>
    <x v="18"/>
    <x v="1"/>
    <x v="1"/>
    <x v="0"/>
    <x v="6"/>
    <n v="42"/>
    <n v="1.87"/>
    <n v="78.540000000000006"/>
    <n v="71.471400000000003"/>
  </r>
  <r>
    <x v="19"/>
    <x v="1"/>
    <x v="1"/>
    <x v="2"/>
    <x v="5"/>
    <n v="33"/>
    <n v="2.84"/>
    <n v="93.72"/>
    <n v="77.787599999999998"/>
  </r>
  <r>
    <x v="20"/>
    <x v="0"/>
    <x v="2"/>
    <x v="2"/>
    <x v="2"/>
    <n v="85"/>
    <n v="1.8699999999999999"/>
    <n v="158.94999999999999"/>
    <n v="139.87599999999998"/>
  </r>
  <r>
    <x v="21"/>
    <x v="1"/>
    <x v="3"/>
    <x v="2"/>
    <x v="5"/>
    <n v="30"/>
    <n v="2.8400000000000003"/>
    <n v="85.2"/>
    <n v="72.42"/>
  </r>
  <r>
    <x v="22"/>
    <x v="0"/>
    <x v="0"/>
    <x v="0"/>
    <x v="0"/>
    <n v="61"/>
    <n v="1.77"/>
    <n v="107.97"/>
    <n v="101.4918"/>
  </r>
  <r>
    <x v="23"/>
    <x v="0"/>
    <x v="0"/>
    <x v="1"/>
    <x v="1"/>
    <n v="40"/>
    <n v="3.4899999999999998"/>
    <n v="139.6"/>
    <n v="132.62"/>
  </r>
  <r>
    <x v="24"/>
    <x v="1"/>
    <x v="1"/>
    <x v="2"/>
    <x v="2"/>
    <n v="86"/>
    <n v="1.8699999999999999"/>
    <n v="160.82"/>
    <n v="157.6036"/>
  </r>
  <r>
    <x v="25"/>
    <x v="0"/>
    <x v="2"/>
    <x v="0"/>
    <x v="0"/>
    <n v="38"/>
    <n v="1.7700000000000002"/>
    <n v="67.260000000000005"/>
    <n v="63.224400000000003"/>
  </r>
  <r>
    <x v="26"/>
    <x v="0"/>
    <x v="2"/>
    <x v="3"/>
    <x v="4"/>
    <n v="68"/>
    <n v="1.68"/>
    <n v="114.24"/>
    <n v="98.246399999999994"/>
  </r>
  <r>
    <x v="27"/>
    <x v="1"/>
    <x v="3"/>
    <x v="2"/>
    <x v="2"/>
    <n v="39"/>
    <n v="1.87"/>
    <n v="72.930000000000007"/>
    <n v="67.824900000000014"/>
  </r>
  <r>
    <x v="28"/>
    <x v="0"/>
    <x v="0"/>
    <x v="0"/>
    <x v="6"/>
    <n v="103"/>
    <n v="1.87"/>
    <n v="192.61"/>
    <n v="157.9402"/>
  </r>
  <r>
    <x v="29"/>
    <x v="0"/>
    <x v="0"/>
    <x v="2"/>
    <x v="5"/>
    <n v="193"/>
    <n v="2.84"/>
    <n v="548.12"/>
    <n v="487.82679999999999"/>
  </r>
  <r>
    <x v="30"/>
    <x v="1"/>
    <x v="1"/>
    <x v="0"/>
    <x v="0"/>
    <n v="58"/>
    <n v="1.77"/>
    <n v="102.66"/>
    <n v="100.60679999999999"/>
  </r>
  <r>
    <x v="31"/>
    <x v="1"/>
    <x v="1"/>
    <x v="3"/>
    <x v="4"/>
    <n v="68"/>
    <n v="1.68"/>
    <n v="114.24"/>
    <n v="105.10079999999999"/>
  </r>
  <r>
    <x v="32"/>
    <x v="0"/>
    <x v="2"/>
    <x v="0"/>
    <x v="0"/>
    <n v="91"/>
    <n v="1.77"/>
    <n v="161.07"/>
    <n v="153.01650000000001"/>
  </r>
  <r>
    <x v="33"/>
    <x v="0"/>
    <x v="2"/>
    <x v="1"/>
    <x v="1"/>
    <n v="23"/>
    <n v="3.4899999999999998"/>
    <n v="80.27"/>
    <n v="78.664599999999993"/>
  </r>
  <r>
    <x v="34"/>
    <x v="1"/>
    <x v="3"/>
    <x v="3"/>
    <x v="4"/>
    <n v="28"/>
    <n v="1.68"/>
    <n v="47.04"/>
    <n v="46.569600000000001"/>
  </r>
  <r>
    <x v="35"/>
    <x v="0"/>
    <x v="0"/>
    <x v="0"/>
    <x v="0"/>
    <n v="48"/>
    <n v="1.7699999999999998"/>
    <n v="84.96"/>
    <n v="79.012799999999999"/>
  </r>
  <r>
    <x v="36"/>
    <x v="0"/>
    <x v="0"/>
    <x v="3"/>
    <x v="4"/>
    <n v="134"/>
    <n v="1.68"/>
    <n v="225.12"/>
    <n v="218.3664"/>
  </r>
  <r>
    <x v="37"/>
    <x v="1"/>
    <x v="1"/>
    <x v="0"/>
    <x v="0"/>
    <n v="20"/>
    <n v="1.77"/>
    <n v="35.4"/>
    <n v="32.567999999999998"/>
  </r>
  <r>
    <x v="38"/>
    <x v="0"/>
    <x v="2"/>
    <x v="0"/>
    <x v="0"/>
    <n v="53"/>
    <n v="1.77"/>
    <n v="93.81"/>
    <n v="79.738500000000002"/>
  </r>
  <r>
    <x v="39"/>
    <x v="0"/>
    <x v="2"/>
    <x v="3"/>
    <x v="4"/>
    <n v="64"/>
    <n v="1.68"/>
    <n v="107.52"/>
    <n v="104.2944"/>
  </r>
  <r>
    <x v="40"/>
    <x v="1"/>
    <x v="3"/>
    <x v="2"/>
    <x v="2"/>
    <n v="63"/>
    <n v="1.87"/>
    <n v="117.81"/>
    <n v="107.2071"/>
  </r>
  <r>
    <x v="41"/>
    <x v="0"/>
    <x v="0"/>
    <x v="0"/>
    <x v="6"/>
    <n v="105"/>
    <n v="1.8699999999999999"/>
    <n v="196.35"/>
    <n v="172.78800000000001"/>
  </r>
  <r>
    <x v="42"/>
    <x v="0"/>
    <x v="0"/>
    <x v="2"/>
    <x v="5"/>
    <n v="138"/>
    <n v="2.8400000000000003"/>
    <n v="391.92"/>
    <n v="364.48560000000003"/>
  </r>
  <r>
    <x v="43"/>
    <x v="1"/>
    <x v="1"/>
    <x v="0"/>
    <x v="0"/>
    <n v="25"/>
    <n v="1.77"/>
    <n v="44.25"/>
    <n v="41.152500000000003"/>
  </r>
  <r>
    <x v="44"/>
    <x v="1"/>
    <x v="1"/>
    <x v="1"/>
    <x v="1"/>
    <n v="21"/>
    <n v="3.49"/>
    <n v="73.290000000000006"/>
    <n v="64.495200000000011"/>
  </r>
  <r>
    <x v="45"/>
    <x v="0"/>
    <x v="2"/>
    <x v="0"/>
    <x v="0"/>
    <n v="61"/>
    <n v="1.77"/>
    <n v="107.97"/>
    <n v="100.4121"/>
  </r>
  <r>
    <x v="46"/>
    <x v="0"/>
    <x v="2"/>
    <x v="3"/>
    <x v="4"/>
    <n v="49"/>
    <n v="1.68"/>
    <n v="82.32"/>
    <n v="78.203999999999994"/>
  </r>
  <r>
    <x v="47"/>
    <x v="1"/>
    <x v="3"/>
    <x v="2"/>
    <x v="2"/>
    <n v="55"/>
    <n v="1.8699999999999999"/>
    <n v="102.85"/>
    <n v="88.450999999999993"/>
  </r>
  <r>
    <x v="48"/>
    <x v="0"/>
    <x v="0"/>
    <x v="2"/>
    <x v="3"/>
    <n v="27"/>
    <n v="2.1800000000000002"/>
    <n v="58.860000000000007"/>
    <n v="50.031000000000006"/>
  </r>
  <r>
    <x v="49"/>
    <x v="0"/>
    <x v="0"/>
    <x v="0"/>
    <x v="0"/>
    <n v="58"/>
    <n v="1.77"/>
    <n v="102.66"/>
    <n v="90.340800000000002"/>
  </r>
  <r>
    <x v="50"/>
    <x v="0"/>
    <x v="0"/>
    <x v="1"/>
    <x v="1"/>
    <n v="33"/>
    <n v="3.49"/>
    <n v="115.17"/>
    <n v="105.9564"/>
  </r>
  <r>
    <x v="51"/>
    <x v="1"/>
    <x v="1"/>
    <x v="2"/>
    <x v="5"/>
    <n v="288"/>
    <n v="2.84"/>
    <n v="817.92"/>
    <n v="785.20319999999992"/>
  </r>
  <r>
    <x v="52"/>
    <x v="0"/>
    <x v="2"/>
    <x v="2"/>
    <x v="2"/>
    <n v="76"/>
    <n v="1.87"/>
    <n v="142.12"/>
    <n v="117.95960000000001"/>
  </r>
  <r>
    <x v="53"/>
    <x v="1"/>
    <x v="3"/>
    <x v="0"/>
    <x v="0"/>
    <n v="42"/>
    <n v="1.77"/>
    <n v="74.34"/>
    <n v="66.906000000000006"/>
  </r>
  <r>
    <x v="54"/>
    <x v="1"/>
    <x v="3"/>
    <x v="1"/>
    <x v="1"/>
    <n v="20"/>
    <n v="3.4899999999999998"/>
    <n v="69.8"/>
    <n v="68.403999999999996"/>
  </r>
  <r>
    <x v="55"/>
    <x v="0"/>
    <x v="0"/>
    <x v="0"/>
    <x v="0"/>
    <n v="75"/>
    <n v="1.77"/>
    <n v="132.75"/>
    <n v="114.16499999999999"/>
  </r>
  <r>
    <x v="56"/>
    <x v="0"/>
    <x v="0"/>
    <x v="1"/>
    <x v="1"/>
    <n v="38"/>
    <n v="3.49"/>
    <n v="132.62"/>
    <n v="123.3366"/>
  </r>
  <r>
    <x v="57"/>
    <x v="1"/>
    <x v="1"/>
    <x v="0"/>
    <x v="0"/>
    <n v="306"/>
    <n v="1.77"/>
    <n v="541.62"/>
    <n v="514.53899999999999"/>
  </r>
  <r>
    <x v="58"/>
    <x v="1"/>
    <x v="1"/>
    <x v="3"/>
    <x v="4"/>
    <n v="28"/>
    <n v="1.68"/>
    <n v="47.04"/>
    <n v="41.395200000000003"/>
  </r>
  <r>
    <x v="59"/>
    <x v="0"/>
    <x v="2"/>
    <x v="0"/>
    <x v="6"/>
    <n v="110"/>
    <n v="1.8699999999999999"/>
    <n v="205.7"/>
    <n v="176.90199999999999"/>
  </r>
  <r>
    <x v="60"/>
    <x v="0"/>
    <x v="2"/>
    <x v="2"/>
    <x v="5"/>
    <n v="51"/>
    <n v="2.84"/>
    <n v="144.84"/>
    <n v="143.39160000000001"/>
  </r>
  <r>
    <x v="61"/>
    <x v="1"/>
    <x v="3"/>
    <x v="0"/>
    <x v="0"/>
    <n v="52"/>
    <n v="1.77"/>
    <n v="92.04"/>
    <n v="83.756400000000014"/>
  </r>
  <r>
    <x v="62"/>
    <x v="1"/>
    <x v="3"/>
    <x v="1"/>
    <x v="1"/>
    <n v="28"/>
    <n v="3.4899999999999998"/>
    <n v="97.72"/>
    <n v="95.765599999999992"/>
  </r>
  <r>
    <x v="63"/>
    <x v="0"/>
    <x v="0"/>
    <x v="0"/>
    <x v="0"/>
    <n v="136"/>
    <n v="1.77"/>
    <n v="240.72"/>
    <n v="221.4624"/>
  </r>
  <r>
    <x v="64"/>
    <x v="0"/>
    <x v="0"/>
    <x v="1"/>
    <x v="1"/>
    <n v="42"/>
    <n v="3.49"/>
    <n v="146.58000000000001"/>
    <n v="137.7852"/>
  </r>
  <r>
    <x v="65"/>
    <x v="1"/>
    <x v="1"/>
    <x v="2"/>
    <x v="2"/>
    <n v="75"/>
    <n v="1.87"/>
    <n v="140.25"/>
    <n v="119.21250000000001"/>
  </r>
  <r>
    <x v="66"/>
    <x v="0"/>
    <x v="2"/>
    <x v="0"/>
    <x v="6"/>
    <n v="72"/>
    <n v="1.8699999999999999"/>
    <n v="134.63999999999999"/>
    <n v="115.79039999999999"/>
  </r>
  <r>
    <x v="67"/>
    <x v="0"/>
    <x v="2"/>
    <x v="2"/>
    <x v="5"/>
    <n v="56"/>
    <n v="2.84"/>
    <n v="159.04"/>
    <n v="147.90719999999999"/>
  </r>
  <r>
    <x v="68"/>
    <x v="1"/>
    <x v="3"/>
    <x v="0"/>
    <x v="6"/>
    <n v="51"/>
    <n v="1.87"/>
    <n v="95.37"/>
    <n v="87.740400000000008"/>
  </r>
  <r>
    <x v="69"/>
    <x v="1"/>
    <x v="3"/>
    <x v="3"/>
    <x v="4"/>
    <n v="31"/>
    <n v="1.68"/>
    <n v="52.08"/>
    <n v="44.788799999999995"/>
  </r>
  <r>
    <x v="70"/>
    <x v="0"/>
    <x v="0"/>
    <x v="0"/>
    <x v="6"/>
    <n v="56"/>
    <n v="1.8699999999999999"/>
    <n v="104.72"/>
    <n v="93.200800000000001"/>
  </r>
  <r>
    <x v="71"/>
    <x v="0"/>
    <x v="0"/>
    <x v="2"/>
    <x v="5"/>
    <n v="137"/>
    <n v="2.84"/>
    <n v="389.08"/>
    <n v="338.49959999999999"/>
  </r>
  <r>
    <x v="72"/>
    <x v="1"/>
    <x v="1"/>
    <x v="2"/>
    <x v="2"/>
    <n v="107"/>
    <n v="1.87"/>
    <n v="200.09"/>
    <n v="164.07380000000001"/>
  </r>
  <r>
    <x v="73"/>
    <x v="0"/>
    <x v="2"/>
    <x v="0"/>
    <x v="0"/>
    <n v="24"/>
    <n v="1.7699999999999998"/>
    <n v="42.48"/>
    <n v="36.532799999999995"/>
  </r>
  <r>
    <x v="74"/>
    <x v="0"/>
    <x v="2"/>
    <x v="1"/>
    <x v="1"/>
    <n v="30"/>
    <n v="3.49"/>
    <n v="104.7"/>
    <n v="90.042000000000002"/>
  </r>
  <r>
    <x v="75"/>
    <x v="1"/>
    <x v="3"/>
    <x v="2"/>
    <x v="2"/>
    <n v="70"/>
    <n v="1.87"/>
    <n v="130.9"/>
    <n v="123.04600000000001"/>
  </r>
  <r>
    <x v="76"/>
    <x v="0"/>
    <x v="0"/>
    <x v="2"/>
    <x v="3"/>
    <n v="31"/>
    <n v="2.1800000000000002"/>
    <n v="67.58"/>
    <n v="55.415599999999998"/>
  </r>
  <r>
    <x v="77"/>
    <x v="0"/>
    <x v="0"/>
    <x v="0"/>
    <x v="0"/>
    <n v="109"/>
    <n v="1.77"/>
    <n v="192.93"/>
    <n v="181.35420000000002"/>
  </r>
  <r>
    <x v="78"/>
    <x v="0"/>
    <x v="0"/>
    <x v="1"/>
    <x v="1"/>
    <n v="21"/>
    <n v="3.49"/>
    <n v="73.290000000000006"/>
    <n v="66.693900000000014"/>
  </r>
  <r>
    <x v="79"/>
    <x v="1"/>
    <x v="1"/>
    <x v="2"/>
    <x v="2"/>
    <n v="80"/>
    <n v="1.8699999999999999"/>
    <n v="149.6"/>
    <n v="148.10399999999998"/>
  </r>
  <r>
    <x v="80"/>
    <x v="0"/>
    <x v="2"/>
    <x v="0"/>
    <x v="6"/>
    <n v="75"/>
    <n v="1.87"/>
    <n v="140.25"/>
    <n v="116.4075"/>
  </r>
  <r>
    <x v="81"/>
    <x v="0"/>
    <x v="2"/>
    <x v="2"/>
    <x v="5"/>
    <n v="74"/>
    <n v="2.84"/>
    <n v="210.16"/>
    <n v="174.43279999999999"/>
  </r>
  <r>
    <x v="82"/>
    <x v="1"/>
    <x v="3"/>
    <x v="0"/>
    <x v="0"/>
    <n v="45"/>
    <n v="1.77"/>
    <n v="79.650000000000006"/>
    <n v="67.702500000000001"/>
  </r>
  <r>
    <x v="83"/>
    <x v="0"/>
    <x v="0"/>
    <x v="2"/>
    <x v="3"/>
    <n v="28"/>
    <n v="2.1800000000000002"/>
    <n v="61.040000000000006"/>
    <n v="57.377600000000008"/>
  </r>
  <r>
    <x v="84"/>
    <x v="0"/>
    <x v="0"/>
    <x v="0"/>
    <x v="0"/>
    <n v="143"/>
    <n v="1.77"/>
    <n v="253.11"/>
    <n v="237.92340000000002"/>
  </r>
  <r>
    <x v="85"/>
    <x v="0"/>
    <x v="0"/>
    <x v="3"/>
    <x v="7"/>
    <n v="27"/>
    <n v="3.15"/>
    <n v="85.05"/>
    <n v="81.647999999999996"/>
  </r>
  <r>
    <x v="86"/>
    <x v="1"/>
    <x v="1"/>
    <x v="0"/>
    <x v="0"/>
    <n v="133"/>
    <n v="1.77"/>
    <n v="235.41"/>
    <n v="200.0985"/>
  </r>
  <r>
    <x v="87"/>
    <x v="0"/>
    <x v="2"/>
    <x v="2"/>
    <x v="3"/>
    <n v="110"/>
    <n v="2.1800000000000002"/>
    <n v="239.8"/>
    <n v="218.21800000000002"/>
  </r>
  <r>
    <x v="88"/>
    <x v="0"/>
    <x v="2"/>
    <x v="2"/>
    <x v="2"/>
    <n v="65"/>
    <n v="1.8699999999999999"/>
    <n v="121.55"/>
    <n v="111.82599999999999"/>
  </r>
  <r>
    <x v="89"/>
    <x v="1"/>
    <x v="3"/>
    <x v="0"/>
    <x v="6"/>
    <n v="33"/>
    <n v="1.87"/>
    <n v="61.71"/>
    <n v="50.602200000000003"/>
  </r>
  <r>
    <x v="90"/>
    <x v="0"/>
    <x v="0"/>
    <x v="2"/>
    <x v="3"/>
    <n v="81"/>
    <n v="2.1800000000000002"/>
    <n v="176.58"/>
    <n v="174.8142"/>
  </r>
  <r>
    <x v="91"/>
    <x v="0"/>
    <x v="0"/>
    <x v="0"/>
    <x v="0"/>
    <n v="77"/>
    <n v="1.7699999999999998"/>
    <n v="136.29"/>
    <n v="117.20939999999999"/>
  </r>
  <r>
    <x v="92"/>
    <x v="0"/>
    <x v="0"/>
    <x v="1"/>
    <x v="1"/>
    <n v="38"/>
    <n v="3.49"/>
    <n v="132.62"/>
    <n v="108.7484"/>
  </r>
  <r>
    <x v="93"/>
    <x v="1"/>
    <x v="1"/>
    <x v="0"/>
    <x v="0"/>
    <n v="40"/>
    <n v="1.77"/>
    <n v="70.8"/>
    <n v="63.012"/>
  </r>
  <r>
    <x v="94"/>
    <x v="1"/>
    <x v="1"/>
    <x v="3"/>
    <x v="4"/>
    <n v="114"/>
    <n v="1.6800000000000002"/>
    <n v="191.52"/>
    <n v="189.60480000000001"/>
  </r>
  <r>
    <x v="95"/>
    <x v="0"/>
    <x v="2"/>
    <x v="2"/>
    <x v="3"/>
    <n v="224"/>
    <n v="2.1800000000000002"/>
    <n v="488.32000000000005"/>
    <n v="400.42240000000004"/>
  </r>
  <r>
    <x v="96"/>
    <x v="0"/>
    <x v="2"/>
    <x v="0"/>
    <x v="0"/>
    <n v="141"/>
    <n v="1.77"/>
    <n v="249.57"/>
    <n v="222.1173"/>
  </r>
  <r>
    <x v="97"/>
    <x v="0"/>
    <x v="2"/>
    <x v="1"/>
    <x v="1"/>
    <n v="32"/>
    <n v="3.49"/>
    <n v="111.68"/>
    <n v="110.56320000000001"/>
  </r>
  <r>
    <x v="98"/>
    <x v="1"/>
    <x v="3"/>
    <x v="0"/>
    <x v="0"/>
    <n v="20"/>
    <n v="1.77"/>
    <n v="35.4"/>
    <n v="34.692"/>
  </r>
  <r>
    <x v="99"/>
    <x v="0"/>
    <x v="0"/>
    <x v="2"/>
    <x v="3"/>
    <n v="40"/>
    <n v="2.1800000000000002"/>
    <n v="87.2"/>
    <n v="75.864000000000004"/>
  </r>
  <r>
    <x v="100"/>
    <x v="0"/>
    <x v="0"/>
    <x v="2"/>
    <x v="2"/>
    <n v="49"/>
    <n v="1.8699999999999999"/>
    <n v="91.63"/>
    <n v="82.466999999999999"/>
  </r>
  <r>
    <x v="101"/>
    <x v="0"/>
    <x v="0"/>
    <x v="1"/>
    <x v="1"/>
    <n v="46"/>
    <n v="3.4899999999999998"/>
    <n v="160.54"/>
    <n v="136.459"/>
  </r>
  <r>
    <x v="102"/>
    <x v="1"/>
    <x v="1"/>
    <x v="0"/>
    <x v="0"/>
    <n v="39"/>
    <n v="1.77"/>
    <n v="69.03"/>
    <n v="57.294899999999998"/>
  </r>
  <r>
    <x v="103"/>
    <x v="1"/>
    <x v="1"/>
    <x v="3"/>
    <x v="4"/>
    <n v="62"/>
    <n v="1.68"/>
    <n v="104.16"/>
    <n v="97.910399999999996"/>
  </r>
  <r>
    <x v="104"/>
    <x v="0"/>
    <x v="2"/>
    <x v="0"/>
    <x v="0"/>
    <n v="90"/>
    <n v="1.77"/>
    <n v="159.30000000000001"/>
    <n v="130.626"/>
  </r>
  <r>
    <x v="105"/>
    <x v="1"/>
    <x v="3"/>
    <x v="2"/>
    <x v="3"/>
    <n v="103"/>
    <n v="2.1799999999999997"/>
    <n v="224.53999999999996"/>
    <n v="206.57679999999996"/>
  </r>
  <r>
    <x v="106"/>
    <x v="1"/>
    <x v="3"/>
    <x v="2"/>
    <x v="5"/>
    <n v="32"/>
    <n v="2.84"/>
    <n v="90.88"/>
    <n v="84.5184"/>
  </r>
  <r>
    <x v="107"/>
    <x v="0"/>
    <x v="0"/>
    <x v="0"/>
    <x v="6"/>
    <n v="66"/>
    <n v="1.87"/>
    <n v="123.42"/>
    <n v="119.7174"/>
  </r>
  <r>
    <x v="108"/>
    <x v="0"/>
    <x v="0"/>
    <x v="2"/>
    <x v="5"/>
    <n v="97"/>
    <n v="2.8400000000000003"/>
    <n v="275.48"/>
    <n v="236.9128"/>
  </r>
  <r>
    <x v="109"/>
    <x v="1"/>
    <x v="1"/>
    <x v="0"/>
    <x v="0"/>
    <n v="30"/>
    <n v="1.77"/>
    <n v="53.1"/>
    <n v="49.383000000000003"/>
  </r>
  <r>
    <x v="110"/>
    <x v="1"/>
    <x v="1"/>
    <x v="3"/>
    <x v="4"/>
    <n v="29"/>
    <n v="1.68"/>
    <n v="48.72"/>
    <n v="44.3352"/>
  </r>
  <r>
    <x v="111"/>
    <x v="0"/>
    <x v="2"/>
    <x v="0"/>
    <x v="0"/>
    <n v="92"/>
    <n v="1.77"/>
    <n v="162.84"/>
    <n v="136.78559999999999"/>
  </r>
  <r>
    <x v="112"/>
    <x v="1"/>
    <x v="3"/>
    <x v="2"/>
    <x v="3"/>
    <n v="139"/>
    <n v="2.1799999999999997"/>
    <n v="303.02"/>
    <n v="263.62739999999997"/>
  </r>
  <r>
    <x v="113"/>
    <x v="1"/>
    <x v="3"/>
    <x v="2"/>
    <x v="5"/>
    <n v="29"/>
    <n v="2.84"/>
    <n v="82.36"/>
    <n v="80.712800000000001"/>
  </r>
  <r>
    <x v="114"/>
    <x v="0"/>
    <x v="0"/>
    <x v="0"/>
    <x v="8"/>
    <n v="30"/>
    <n v="2.27"/>
    <n v="68.099999999999994"/>
    <n v="56.522999999999996"/>
  </r>
  <r>
    <x v="115"/>
    <x v="0"/>
    <x v="0"/>
    <x v="2"/>
    <x v="2"/>
    <n v="36"/>
    <n v="1.8699999999999999"/>
    <n v="67.319999999999993"/>
    <n v="66.646799999999999"/>
  </r>
  <r>
    <x v="116"/>
    <x v="0"/>
    <x v="0"/>
    <x v="1"/>
    <x v="1"/>
    <n v="41"/>
    <n v="3.49"/>
    <n v="143.09"/>
    <n v="117.3338"/>
  </r>
  <r>
    <x v="117"/>
    <x v="1"/>
    <x v="1"/>
    <x v="0"/>
    <x v="0"/>
    <n v="44"/>
    <n v="1.7699999999999998"/>
    <n v="77.88"/>
    <n v="75.543599999999998"/>
  </r>
  <r>
    <x v="118"/>
    <x v="1"/>
    <x v="1"/>
    <x v="3"/>
    <x v="4"/>
    <n v="29"/>
    <n v="1.68"/>
    <n v="48.72"/>
    <n v="43.360799999999998"/>
  </r>
  <r>
    <x v="119"/>
    <x v="0"/>
    <x v="2"/>
    <x v="2"/>
    <x v="3"/>
    <n v="237"/>
    <n v="2.1799999999999997"/>
    <n v="516.66"/>
    <n v="464.99399999999997"/>
  </r>
  <r>
    <x v="120"/>
    <x v="0"/>
    <x v="2"/>
    <x v="2"/>
    <x v="2"/>
    <n v="65"/>
    <n v="1.8699999999999999"/>
    <n v="121.55"/>
    <n v="99.670999999999992"/>
  </r>
  <r>
    <x v="121"/>
    <x v="1"/>
    <x v="3"/>
    <x v="2"/>
    <x v="3"/>
    <n v="83"/>
    <n v="2.1800000000000002"/>
    <n v="180.94000000000003"/>
    <n v="179.13060000000002"/>
  </r>
  <r>
    <x v="122"/>
    <x v="0"/>
    <x v="0"/>
    <x v="2"/>
    <x v="3"/>
    <n v="32"/>
    <n v="2.1800000000000002"/>
    <n v="69.760000000000005"/>
    <n v="57.900800000000004"/>
  </r>
  <r>
    <x v="123"/>
    <x v="0"/>
    <x v="0"/>
    <x v="0"/>
    <x v="0"/>
    <n v="63"/>
    <n v="1.77"/>
    <n v="111.51"/>
    <n v="95.898600000000002"/>
  </r>
  <r>
    <x v="124"/>
    <x v="0"/>
    <x v="0"/>
    <x v="3"/>
    <x v="7"/>
    <n v="29"/>
    <n v="3.15"/>
    <n v="91.35"/>
    <n v="76.733999999999995"/>
  </r>
  <r>
    <x v="125"/>
    <x v="1"/>
    <x v="1"/>
    <x v="0"/>
    <x v="6"/>
    <n v="77"/>
    <n v="1.87"/>
    <n v="143.99"/>
    <n v="120.95160000000001"/>
  </r>
  <r>
    <x v="126"/>
    <x v="1"/>
    <x v="1"/>
    <x v="2"/>
    <x v="5"/>
    <n v="80"/>
    <n v="2.84"/>
    <n v="227.2"/>
    <n v="202.208"/>
  </r>
  <r>
    <x v="127"/>
    <x v="0"/>
    <x v="2"/>
    <x v="0"/>
    <x v="0"/>
    <n v="102"/>
    <n v="1.77"/>
    <n v="180.54"/>
    <n v="155.26439999999999"/>
  </r>
  <r>
    <x v="128"/>
    <x v="0"/>
    <x v="2"/>
    <x v="1"/>
    <x v="1"/>
    <n v="31"/>
    <n v="3.4899999999999998"/>
    <n v="108.19"/>
    <n v="89.797699999999992"/>
  </r>
  <r>
    <x v="129"/>
    <x v="1"/>
    <x v="3"/>
    <x v="0"/>
    <x v="0"/>
    <n v="56"/>
    <n v="1.77"/>
    <n v="99.12"/>
    <n v="95.155200000000008"/>
  </r>
  <r>
    <x v="130"/>
    <x v="0"/>
    <x v="0"/>
    <x v="2"/>
    <x v="3"/>
    <n v="52"/>
    <n v="2.1800000000000002"/>
    <n v="113.36000000000001"/>
    <n v="109.95920000000001"/>
  </r>
  <r>
    <x v="131"/>
    <x v="0"/>
    <x v="0"/>
    <x v="0"/>
    <x v="0"/>
    <n v="51"/>
    <n v="1.77"/>
    <n v="90.27"/>
    <n v="81.242999999999995"/>
  </r>
  <r>
    <x v="132"/>
    <x v="0"/>
    <x v="0"/>
    <x v="3"/>
    <x v="4"/>
    <n v="24"/>
    <n v="1.68"/>
    <n v="40.32"/>
    <n v="33.465600000000002"/>
  </r>
  <r>
    <x v="133"/>
    <x v="1"/>
    <x v="1"/>
    <x v="2"/>
    <x v="3"/>
    <n v="58"/>
    <n v="2.1800000000000002"/>
    <n v="126.44000000000001"/>
    <n v="121.38240000000002"/>
  </r>
  <r>
    <x v="134"/>
    <x v="1"/>
    <x v="1"/>
    <x v="2"/>
    <x v="2"/>
    <n v="34"/>
    <n v="1.8699999999999999"/>
    <n v="63.58"/>
    <n v="57.222000000000001"/>
  </r>
  <r>
    <x v="135"/>
    <x v="0"/>
    <x v="2"/>
    <x v="0"/>
    <x v="0"/>
    <n v="34"/>
    <n v="1.77"/>
    <n v="60.18"/>
    <n v="59.578200000000002"/>
  </r>
  <r>
    <x v="136"/>
    <x v="0"/>
    <x v="2"/>
    <x v="3"/>
    <x v="4"/>
    <n v="21"/>
    <n v="1.6800000000000002"/>
    <n v="35.28"/>
    <n v="34.574400000000004"/>
  </r>
  <r>
    <x v="137"/>
    <x v="1"/>
    <x v="3"/>
    <x v="2"/>
    <x v="5"/>
    <n v="29"/>
    <n v="2.84"/>
    <n v="82.36"/>
    <n v="67.535200000000003"/>
  </r>
  <r>
    <x v="138"/>
    <x v="0"/>
    <x v="0"/>
    <x v="0"/>
    <x v="0"/>
    <n v="68"/>
    <n v="1.77"/>
    <n v="120.36"/>
    <n v="107.1204"/>
  </r>
  <r>
    <x v="139"/>
    <x v="0"/>
    <x v="0"/>
    <x v="3"/>
    <x v="7"/>
    <n v="31"/>
    <n v="3.1500000000000004"/>
    <n v="97.65"/>
    <n v="81.049500000000009"/>
  </r>
  <r>
    <x v="140"/>
    <x v="1"/>
    <x v="1"/>
    <x v="2"/>
    <x v="3"/>
    <n v="30"/>
    <n v="2.1800000000000002"/>
    <n v="65.400000000000006"/>
    <n v="60.168000000000006"/>
  </r>
  <r>
    <x v="141"/>
    <x v="1"/>
    <x v="1"/>
    <x v="2"/>
    <x v="2"/>
    <n v="232"/>
    <n v="1.8699999999999999"/>
    <n v="433.84"/>
    <n v="420.82479999999998"/>
  </r>
  <r>
    <x v="142"/>
    <x v="0"/>
    <x v="2"/>
    <x v="0"/>
    <x v="6"/>
    <n v="68"/>
    <n v="1.8699999999999999"/>
    <n v="127.16"/>
    <n v="115.71559999999999"/>
  </r>
  <r>
    <x v="143"/>
    <x v="0"/>
    <x v="2"/>
    <x v="2"/>
    <x v="5"/>
    <n v="97"/>
    <n v="2.8400000000000003"/>
    <n v="275.48"/>
    <n v="242.42240000000001"/>
  </r>
  <r>
    <x v="144"/>
    <x v="1"/>
    <x v="3"/>
    <x v="0"/>
    <x v="6"/>
    <n v="86"/>
    <n v="1.8699999999999999"/>
    <n v="160.82"/>
    <n v="135.08879999999999"/>
  </r>
  <r>
    <x v="145"/>
    <x v="1"/>
    <x v="3"/>
    <x v="3"/>
    <x v="4"/>
    <n v="41"/>
    <n v="1.68"/>
    <n v="68.88"/>
    <n v="63.369599999999998"/>
  </r>
  <r>
    <x v="146"/>
    <x v="0"/>
    <x v="0"/>
    <x v="0"/>
    <x v="0"/>
    <n v="93"/>
    <n v="1.7700000000000002"/>
    <n v="164.61"/>
    <n v="149.79510000000002"/>
  </r>
  <r>
    <x v="147"/>
    <x v="0"/>
    <x v="0"/>
    <x v="3"/>
    <x v="4"/>
    <n v="47"/>
    <n v="1.68"/>
    <n v="78.959999999999994"/>
    <n v="75.012"/>
  </r>
  <r>
    <x v="148"/>
    <x v="1"/>
    <x v="1"/>
    <x v="0"/>
    <x v="0"/>
    <n v="103"/>
    <n v="1.77"/>
    <n v="182.31"/>
    <n v="164.07900000000001"/>
  </r>
  <r>
    <x v="149"/>
    <x v="1"/>
    <x v="1"/>
    <x v="3"/>
    <x v="4"/>
    <n v="33"/>
    <n v="1.68"/>
    <n v="55.44"/>
    <n v="51.004799999999996"/>
  </r>
  <r>
    <x v="150"/>
    <x v="0"/>
    <x v="2"/>
    <x v="0"/>
    <x v="6"/>
    <n v="57"/>
    <n v="1.87"/>
    <n v="106.59"/>
    <n v="100.19460000000001"/>
  </r>
  <r>
    <x v="151"/>
    <x v="0"/>
    <x v="2"/>
    <x v="2"/>
    <x v="5"/>
    <n v="65"/>
    <n v="2.84"/>
    <n v="184.6"/>
    <n v="175.37"/>
  </r>
  <r>
    <x v="152"/>
    <x v="1"/>
    <x v="3"/>
    <x v="0"/>
    <x v="0"/>
    <n v="118"/>
    <n v="1.77"/>
    <n v="208.86"/>
    <n v="194.2398"/>
  </r>
  <r>
    <x v="153"/>
    <x v="0"/>
    <x v="0"/>
    <x v="2"/>
    <x v="3"/>
    <n v="36"/>
    <n v="2.1800000000000002"/>
    <n v="78.48"/>
    <n v="72.986400000000003"/>
  </r>
  <r>
    <x v="154"/>
    <x v="0"/>
    <x v="0"/>
    <x v="2"/>
    <x v="5"/>
    <n v="123"/>
    <n v="2.84"/>
    <n v="349.32"/>
    <n v="345.82679999999999"/>
  </r>
  <r>
    <x v="155"/>
    <x v="1"/>
    <x v="1"/>
    <x v="0"/>
    <x v="0"/>
    <n v="90"/>
    <n v="1.77"/>
    <n v="159.30000000000001"/>
    <n v="154.52100000000002"/>
  </r>
  <r>
    <x v="156"/>
    <x v="1"/>
    <x v="1"/>
    <x v="1"/>
    <x v="1"/>
    <n v="21"/>
    <n v="3.49"/>
    <n v="73.290000000000006"/>
    <n v="72.557100000000005"/>
  </r>
  <r>
    <x v="157"/>
    <x v="0"/>
    <x v="2"/>
    <x v="0"/>
    <x v="0"/>
    <n v="48"/>
    <n v="1.7699999999999998"/>
    <n v="84.96"/>
    <n v="74.764799999999994"/>
  </r>
  <r>
    <x v="158"/>
    <x v="0"/>
    <x v="2"/>
    <x v="3"/>
    <x v="4"/>
    <n v="24"/>
    <n v="1.68"/>
    <n v="40.32"/>
    <n v="33.8688"/>
  </r>
  <r>
    <x v="159"/>
    <x v="1"/>
    <x v="3"/>
    <x v="2"/>
    <x v="2"/>
    <n v="67"/>
    <n v="1.87"/>
    <n v="125.29"/>
    <n v="105.2436"/>
  </r>
  <r>
    <x v="160"/>
    <x v="0"/>
    <x v="0"/>
    <x v="0"/>
    <x v="6"/>
    <n v="27"/>
    <n v="1.87"/>
    <n v="50.49"/>
    <n v="42.916499999999999"/>
  </r>
  <r>
    <x v="161"/>
    <x v="0"/>
    <x v="0"/>
    <x v="2"/>
    <x v="5"/>
    <n v="129"/>
    <n v="2.8400000000000003"/>
    <n v="366.36"/>
    <n v="307.74240000000003"/>
  </r>
  <r>
    <x v="162"/>
    <x v="1"/>
    <x v="1"/>
    <x v="2"/>
    <x v="3"/>
    <n v="77"/>
    <n v="2.1800000000000002"/>
    <n v="167.86"/>
    <n v="159.46700000000001"/>
  </r>
  <r>
    <x v="163"/>
    <x v="1"/>
    <x v="1"/>
    <x v="2"/>
    <x v="2"/>
    <n v="58"/>
    <n v="1.8699999999999999"/>
    <n v="108.46"/>
    <n v="107.3754"/>
  </r>
  <r>
    <x v="164"/>
    <x v="0"/>
    <x v="2"/>
    <x v="0"/>
    <x v="6"/>
    <n v="47"/>
    <n v="1.87"/>
    <n v="87.89"/>
    <n v="75.585399999999993"/>
  </r>
  <r>
    <x v="165"/>
    <x v="0"/>
    <x v="2"/>
    <x v="2"/>
    <x v="5"/>
    <n v="33"/>
    <n v="2.84"/>
    <n v="93.72"/>
    <n v="86.222399999999993"/>
  </r>
  <r>
    <x v="166"/>
    <x v="1"/>
    <x v="3"/>
    <x v="2"/>
    <x v="2"/>
    <n v="82"/>
    <n v="1.87"/>
    <n v="153.34"/>
    <n v="148.7398"/>
  </r>
  <r>
    <x v="167"/>
    <x v="0"/>
    <x v="0"/>
    <x v="0"/>
    <x v="0"/>
    <n v="58"/>
    <n v="1.77"/>
    <n v="102.66"/>
    <n v="85.207799999999992"/>
  </r>
  <r>
    <x v="168"/>
    <x v="0"/>
    <x v="0"/>
    <x v="3"/>
    <x v="7"/>
    <n v="30"/>
    <n v="3.15"/>
    <n v="94.5"/>
    <n v="85.05"/>
  </r>
  <r>
    <x v="169"/>
    <x v="1"/>
    <x v="1"/>
    <x v="2"/>
    <x v="2"/>
    <n v="43"/>
    <n v="1.8699999999999999"/>
    <n v="80.41"/>
    <n v="76.389499999999998"/>
  </r>
  <r>
    <x v="170"/>
    <x v="0"/>
    <x v="2"/>
    <x v="0"/>
    <x v="0"/>
    <n v="84"/>
    <n v="1.77"/>
    <n v="148.68"/>
    <n v="130.83840000000001"/>
  </r>
  <r>
    <x v="171"/>
    <x v="1"/>
    <x v="3"/>
    <x v="2"/>
    <x v="3"/>
    <n v="36"/>
    <n v="2.1800000000000002"/>
    <n v="78.48"/>
    <n v="65.923200000000008"/>
  </r>
  <r>
    <x v="172"/>
    <x v="1"/>
    <x v="3"/>
    <x v="2"/>
    <x v="5"/>
    <n v="44"/>
    <n v="2.84"/>
    <n v="124.96"/>
    <n v="118.71199999999999"/>
  </r>
  <r>
    <x v="173"/>
    <x v="0"/>
    <x v="0"/>
    <x v="0"/>
    <x v="6"/>
    <n v="27"/>
    <n v="1.87"/>
    <n v="50.49"/>
    <n v="44.936100000000003"/>
  </r>
  <r>
    <x v="174"/>
    <x v="0"/>
    <x v="0"/>
    <x v="2"/>
    <x v="5"/>
    <n v="120"/>
    <n v="2.8400000000000003"/>
    <n v="340.8"/>
    <n v="293.08800000000002"/>
  </r>
  <r>
    <x v="175"/>
    <x v="0"/>
    <x v="0"/>
    <x v="1"/>
    <x v="1"/>
    <n v="26"/>
    <n v="3.4899999999999998"/>
    <n v="90.74"/>
    <n v="78.0364"/>
  </r>
  <r>
    <x v="176"/>
    <x v="1"/>
    <x v="1"/>
    <x v="0"/>
    <x v="0"/>
    <n v="73"/>
    <n v="1.77"/>
    <n v="129.21"/>
    <n v="116.289"/>
  </r>
  <r>
    <x v="177"/>
    <x v="0"/>
    <x v="2"/>
    <x v="0"/>
    <x v="6"/>
    <n v="38"/>
    <n v="1.87"/>
    <n v="71.06"/>
    <n v="67.507000000000005"/>
  </r>
  <r>
    <x v="178"/>
    <x v="0"/>
    <x v="2"/>
    <x v="2"/>
    <x v="5"/>
    <n v="40"/>
    <n v="2.84"/>
    <n v="113.6"/>
    <n v="102.24"/>
  </r>
  <r>
    <x v="179"/>
    <x v="1"/>
    <x v="3"/>
    <x v="0"/>
    <x v="0"/>
    <n v="41"/>
    <n v="1.7699999999999998"/>
    <n v="72.569999999999993"/>
    <n v="71.118599999999986"/>
  </r>
  <r>
    <x v="180"/>
    <x v="0"/>
    <x v="0"/>
    <x v="0"/>
    <x v="8"/>
    <n v="27"/>
    <n v="2.27"/>
    <n v="61.29"/>
    <n v="60.677099999999996"/>
  </r>
  <r>
    <x v="181"/>
    <x v="0"/>
    <x v="0"/>
    <x v="2"/>
    <x v="2"/>
    <n v="38"/>
    <n v="1.87"/>
    <n v="71.06"/>
    <n v="65.375200000000007"/>
  </r>
  <r>
    <x v="182"/>
    <x v="0"/>
    <x v="0"/>
    <x v="1"/>
    <x v="1"/>
    <n v="34"/>
    <n v="3.4899999999999998"/>
    <n v="118.66"/>
    <n v="102.04759999999999"/>
  </r>
  <r>
    <x v="183"/>
    <x v="1"/>
    <x v="1"/>
    <x v="0"/>
    <x v="6"/>
    <n v="65"/>
    <n v="1.8699999999999999"/>
    <n v="121.55"/>
    <n v="113.0415"/>
  </r>
  <r>
    <x v="184"/>
    <x v="1"/>
    <x v="1"/>
    <x v="2"/>
    <x v="5"/>
    <n v="60"/>
    <n v="2.8400000000000003"/>
    <n v="170.4"/>
    <n v="141.43200000000002"/>
  </r>
  <r>
    <x v="185"/>
    <x v="0"/>
    <x v="2"/>
    <x v="2"/>
    <x v="3"/>
    <n v="37"/>
    <n v="2.1799999999999997"/>
    <n v="80.66"/>
    <n v="70.980800000000002"/>
  </r>
  <r>
    <x v="186"/>
    <x v="0"/>
    <x v="2"/>
    <x v="2"/>
    <x v="2"/>
    <n v="40"/>
    <n v="1.8699999999999999"/>
    <n v="74.8"/>
    <n v="69.563999999999993"/>
  </r>
  <r>
    <x v="187"/>
    <x v="1"/>
    <x v="3"/>
    <x v="0"/>
    <x v="6"/>
    <n v="26"/>
    <n v="1.8699999999999999"/>
    <n v="48.62"/>
    <n v="44.244199999999999"/>
  </r>
  <r>
    <x v="188"/>
    <x v="0"/>
    <x v="0"/>
    <x v="0"/>
    <x v="8"/>
    <n v="22"/>
    <n v="2.27"/>
    <n v="49.94"/>
    <n v="47.942399999999999"/>
  </r>
  <r>
    <x v="189"/>
    <x v="0"/>
    <x v="0"/>
    <x v="2"/>
    <x v="2"/>
    <n v="32"/>
    <n v="1.87"/>
    <n v="59.84"/>
    <n v="51.462400000000002"/>
  </r>
  <r>
    <x v="190"/>
    <x v="0"/>
    <x v="0"/>
    <x v="1"/>
    <x v="1"/>
    <n v="23"/>
    <n v="3.4899999999999998"/>
    <n v="80.27"/>
    <n v="79.467299999999994"/>
  </r>
  <r>
    <x v="191"/>
    <x v="1"/>
    <x v="1"/>
    <x v="2"/>
    <x v="3"/>
    <n v="20"/>
    <n v="2.1800000000000002"/>
    <n v="43.6"/>
    <n v="38.804000000000002"/>
  </r>
  <r>
    <x v="192"/>
    <x v="1"/>
    <x v="1"/>
    <x v="2"/>
    <x v="2"/>
    <n v="64"/>
    <n v="1.87"/>
    <n v="119.68"/>
    <n v="98.137600000000006"/>
  </r>
  <r>
    <x v="193"/>
    <x v="0"/>
    <x v="2"/>
    <x v="0"/>
    <x v="0"/>
    <n v="71"/>
    <n v="1.77"/>
    <n v="125.67"/>
    <n v="118.1298"/>
  </r>
  <r>
    <x v="194"/>
    <x v="1"/>
    <x v="3"/>
    <x v="2"/>
    <x v="3"/>
    <n v="90"/>
    <n v="2.1799999999999997"/>
    <n v="196.2"/>
    <n v="164.80799999999999"/>
  </r>
  <r>
    <x v="195"/>
    <x v="1"/>
    <x v="3"/>
    <x v="2"/>
    <x v="5"/>
    <n v="38"/>
    <n v="2.84"/>
    <n v="107.91999999999999"/>
    <n v="104.68239999999999"/>
  </r>
  <r>
    <x v="196"/>
    <x v="0"/>
    <x v="0"/>
    <x v="0"/>
    <x v="0"/>
    <n v="55"/>
    <n v="1.7699999999999998"/>
    <n v="97.35"/>
    <n v="84.694499999999991"/>
  </r>
  <r>
    <x v="197"/>
    <x v="0"/>
    <x v="0"/>
    <x v="3"/>
    <x v="7"/>
    <n v="22"/>
    <n v="3.15"/>
    <n v="69.3"/>
    <n v="57.518999999999998"/>
  </r>
  <r>
    <x v="198"/>
    <x v="1"/>
    <x v="1"/>
    <x v="0"/>
    <x v="0"/>
    <n v="34"/>
    <n v="1.77"/>
    <n v="60.18"/>
    <n v="49.3476"/>
  </r>
  <r>
    <x v="199"/>
    <x v="0"/>
    <x v="2"/>
    <x v="0"/>
    <x v="6"/>
    <n v="39"/>
    <n v="1.87"/>
    <n v="72.930000000000007"/>
    <n v="71.471400000000003"/>
  </r>
  <r>
    <x v="200"/>
    <x v="0"/>
    <x v="2"/>
    <x v="2"/>
    <x v="5"/>
    <n v="41"/>
    <n v="2.84"/>
    <n v="116.44"/>
    <n v="95.480800000000002"/>
  </r>
  <r>
    <x v="201"/>
    <x v="1"/>
    <x v="3"/>
    <x v="0"/>
    <x v="0"/>
    <n v="41"/>
    <n v="1.7699999999999998"/>
    <n v="72.569999999999993"/>
    <n v="66.764399999999995"/>
  </r>
  <r>
    <x v="202"/>
    <x v="0"/>
    <x v="0"/>
    <x v="2"/>
    <x v="3"/>
    <n v="136"/>
    <n v="2.1800000000000002"/>
    <n v="296.48"/>
    <n v="252.00800000000001"/>
  </r>
  <r>
    <x v="203"/>
    <x v="0"/>
    <x v="0"/>
    <x v="0"/>
    <x v="0"/>
    <n v="25"/>
    <n v="1.77"/>
    <n v="44.25"/>
    <n v="38.497500000000002"/>
  </r>
  <r>
    <x v="204"/>
    <x v="0"/>
    <x v="0"/>
    <x v="3"/>
    <x v="7"/>
    <n v="26"/>
    <n v="3.1500000000000004"/>
    <n v="81.900000000000006"/>
    <n v="70.433999999999997"/>
  </r>
  <r>
    <x v="205"/>
    <x v="1"/>
    <x v="1"/>
    <x v="0"/>
    <x v="6"/>
    <n v="50"/>
    <n v="1.87"/>
    <n v="93.5"/>
    <n v="87.89"/>
  </r>
  <r>
    <x v="206"/>
    <x v="1"/>
    <x v="1"/>
    <x v="2"/>
    <x v="5"/>
    <n v="79"/>
    <n v="2.8400000000000003"/>
    <n v="224.36"/>
    <n v="206.41120000000001"/>
  </r>
  <r>
    <x v="207"/>
    <x v="0"/>
    <x v="2"/>
    <x v="0"/>
    <x v="0"/>
    <n v="30"/>
    <n v="1.77"/>
    <n v="53.1"/>
    <n v="46.728000000000002"/>
  </r>
  <r>
    <x v="208"/>
    <x v="0"/>
    <x v="2"/>
    <x v="3"/>
    <x v="4"/>
    <n v="20"/>
    <n v="1.6800000000000002"/>
    <n v="33.6"/>
    <n v="32.928000000000004"/>
  </r>
  <r>
    <x v="209"/>
    <x v="1"/>
    <x v="3"/>
    <x v="0"/>
    <x v="0"/>
    <n v="49"/>
    <n v="1.77"/>
    <n v="86.73"/>
    <n v="79.791600000000003"/>
  </r>
  <r>
    <x v="210"/>
    <x v="0"/>
    <x v="0"/>
    <x v="2"/>
    <x v="3"/>
    <n v="40"/>
    <n v="2.1800000000000002"/>
    <n v="87.2"/>
    <n v="71.504000000000005"/>
  </r>
  <r>
    <x v="211"/>
    <x v="0"/>
    <x v="0"/>
    <x v="0"/>
    <x v="0"/>
    <n v="31"/>
    <n v="1.77"/>
    <n v="54.87"/>
    <n v="54.321300000000001"/>
  </r>
  <r>
    <x v="212"/>
    <x v="0"/>
    <x v="0"/>
    <x v="3"/>
    <x v="7"/>
    <n v="21"/>
    <n v="3.1500000000000004"/>
    <n v="66.150000000000006"/>
    <n v="56.889000000000003"/>
  </r>
  <r>
    <x v="213"/>
    <x v="1"/>
    <x v="1"/>
    <x v="0"/>
    <x v="6"/>
    <n v="43"/>
    <n v="1.8699999999999999"/>
    <n v="80.41"/>
    <n v="69.956699999999998"/>
  </r>
  <r>
    <x v="214"/>
    <x v="1"/>
    <x v="1"/>
    <x v="2"/>
    <x v="5"/>
    <n v="47"/>
    <n v="2.84"/>
    <n v="133.47999999999999"/>
    <n v="113.458"/>
  </r>
  <r>
    <x v="215"/>
    <x v="0"/>
    <x v="2"/>
    <x v="2"/>
    <x v="3"/>
    <n v="175"/>
    <n v="2.1800000000000002"/>
    <n v="381.5"/>
    <n v="316.64499999999998"/>
  </r>
  <r>
    <x v="216"/>
    <x v="0"/>
    <x v="2"/>
    <x v="2"/>
    <x v="2"/>
    <n v="23"/>
    <n v="1.8699999999999999"/>
    <n v="43.01"/>
    <n v="41.2896"/>
  </r>
  <r>
    <x v="217"/>
    <x v="1"/>
    <x v="3"/>
    <x v="0"/>
    <x v="0"/>
    <n v="40"/>
    <n v="1.77"/>
    <n v="70.8"/>
    <n v="60.887999999999998"/>
  </r>
  <r>
    <x v="218"/>
    <x v="0"/>
    <x v="0"/>
    <x v="2"/>
    <x v="3"/>
    <n v="87"/>
    <n v="2.1800000000000002"/>
    <n v="189.66000000000003"/>
    <n v="174.48720000000003"/>
  </r>
  <r>
    <x v="219"/>
    <x v="0"/>
    <x v="0"/>
    <x v="0"/>
    <x v="0"/>
    <n v="43"/>
    <n v="1.77"/>
    <n v="76.11"/>
    <n v="66.976799999999997"/>
  </r>
  <r>
    <x v="220"/>
    <x v="0"/>
    <x v="0"/>
    <x v="1"/>
    <x v="1"/>
    <n v="30"/>
    <n v="3.49"/>
    <n v="104.7"/>
    <n v="102.60600000000001"/>
  </r>
  <r>
    <x v="221"/>
    <x v="1"/>
    <x v="1"/>
    <x v="0"/>
    <x v="0"/>
    <n v="35"/>
    <n v="1.77"/>
    <n v="61.95"/>
    <n v="60.711000000000006"/>
  </r>
  <r>
    <x v="222"/>
    <x v="0"/>
    <x v="2"/>
    <x v="0"/>
    <x v="6"/>
    <n v="57"/>
    <n v="1.87"/>
    <n v="106.59"/>
    <n v="101.26050000000001"/>
  </r>
  <r>
    <x v="223"/>
    <x v="0"/>
    <x v="2"/>
    <x v="3"/>
    <x v="4"/>
    <n v="25"/>
    <n v="1.68"/>
    <n v="42"/>
    <n v="36.54"/>
  </r>
  <r>
    <x v="224"/>
    <x v="1"/>
    <x v="3"/>
    <x v="2"/>
    <x v="2"/>
    <n v="24"/>
    <n v="1.87"/>
    <n v="44.88"/>
    <n v="40.840800000000002"/>
  </r>
  <r>
    <x v="225"/>
    <x v="0"/>
    <x v="0"/>
    <x v="0"/>
    <x v="6"/>
    <n v="83"/>
    <n v="1.87"/>
    <n v="155.21"/>
    <n v="131.92850000000001"/>
  </r>
  <r>
    <x v="226"/>
    <x v="0"/>
    <x v="0"/>
    <x v="2"/>
    <x v="5"/>
    <n v="124"/>
    <n v="2.8400000000000003"/>
    <n v="352.16"/>
    <n v="306.37920000000003"/>
  </r>
  <r>
    <x v="227"/>
    <x v="1"/>
    <x v="1"/>
    <x v="0"/>
    <x v="0"/>
    <n v="137"/>
    <n v="1.77"/>
    <n v="242.49"/>
    <n v="206.1165"/>
  </r>
  <r>
    <x v="228"/>
    <x v="0"/>
    <x v="2"/>
    <x v="2"/>
    <x v="3"/>
    <n v="146"/>
    <n v="2.1799999999999997"/>
    <n v="318.27999999999997"/>
    <n v="315.09719999999999"/>
  </r>
  <r>
    <x v="229"/>
    <x v="0"/>
    <x v="2"/>
    <x v="2"/>
    <x v="2"/>
    <n v="34"/>
    <n v="1.8699999999999999"/>
    <n v="63.58"/>
    <n v="62.944199999999995"/>
  </r>
  <r>
    <x v="230"/>
    <x v="1"/>
    <x v="3"/>
    <x v="0"/>
    <x v="0"/>
    <n v="20"/>
    <n v="1.77"/>
    <n v="35.4"/>
    <n v="31.86"/>
  </r>
  <r>
    <x v="231"/>
    <x v="0"/>
    <x v="0"/>
    <x v="2"/>
    <x v="3"/>
    <n v="139"/>
    <n v="2.1799999999999997"/>
    <n v="303.02"/>
    <n v="278.77839999999998"/>
  </r>
  <r>
    <x v="232"/>
    <x v="0"/>
    <x v="0"/>
    <x v="2"/>
    <x v="2"/>
    <n v="211"/>
    <n v="1.8699999999999999"/>
    <n v="394.57"/>
    <n v="339.33019999999999"/>
  </r>
  <r>
    <x v="233"/>
    <x v="0"/>
    <x v="0"/>
    <x v="1"/>
    <x v="1"/>
    <n v="20"/>
    <n v="3.4899999999999998"/>
    <n v="69.8"/>
    <n v="66.31"/>
  </r>
  <r>
    <x v="234"/>
    <x v="1"/>
    <x v="1"/>
    <x v="0"/>
    <x v="6"/>
    <n v="42"/>
    <n v="1.87"/>
    <n v="78.540000000000006"/>
    <n v="70.686000000000007"/>
  </r>
  <r>
    <x v="235"/>
    <x v="1"/>
    <x v="1"/>
    <x v="2"/>
    <x v="5"/>
    <n v="100"/>
    <n v="2.84"/>
    <n v="284"/>
    <n v="244.24"/>
  </r>
  <r>
    <x v="236"/>
    <x v="0"/>
    <x v="2"/>
    <x v="0"/>
    <x v="0"/>
    <n v="38"/>
    <n v="1.7700000000000002"/>
    <n v="67.260000000000005"/>
    <n v="55.153200000000005"/>
  </r>
  <r>
    <x v="237"/>
    <x v="0"/>
    <x v="2"/>
    <x v="1"/>
    <x v="1"/>
    <n v="25"/>
    <n v="3.49"/>
    <n v="87.25"/>
    <n v="77.652500000000003"/>
  </r>
  <r>
    <x v="238"/>
    <x v="1"/>
    <x v="3"/>
    <x v="2"/>
    <x v="2"/>
    <n v="96"/>
    <n v="1.87"/>
    <n v="179.52"/>
    <n v="177.72480000000002"/>
  </r>
  <r>
    <x v="239"/>
    <x v="0"/>
    <x v="0"/>
    <x v="2"/>
    <x v="3"/>
    <n v="34"/>
    <n v="2.1800000000000002"/>
    <n v="74.12"/>
    <n v="63.002000000000002"/>
  </r>
  <r>
    <x v="240"/>
    <x v="0"/>
    <x v="0"/>
    <x v="2"/>
    <x v="2"/>
    <n v="245"/>
    <n v="1.8699999999999999"/>
    <n v="458.15"/>
    <n v="435.24249999999995"/>
  </r>
  <r>
    <x v="241"/>
    <x v="0"/>
    <x v="0"/>
    <x v="1"/>
    <x v="1"/>
    <n v="30"/>
    <n v="3.49"/>
    <n v="104.7"/>
    <n v="95.277000000000001"/>
  </r>
  <r>
    <x v="242"/>
    <x v="1"/>
    <x v="1"/>
    <x v="0"/>
    <x v="6"/>
    <n v="30"/>
    <n v="1.87"/>
    <n v="56.1"/>
    <n v="53.295000000000002"/>
  </r>
  <r>
    <x v="243"/>
    <x v="1"/>
    <x v="1"/>
    <x v="2"/>
    <x v="5"/>
    <n v="44"/>
    <n v="2.84"/>
    <n v="124.96"/>
    <n v="111.21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3:B6" firstHeaderRow="1" firstDataRow="1" firstDataCol="1"/>
  <pivotFields count="11">
    <pivotField numFmtId="14" showAll="0"/>
    <pivotField axis="axisRow" showAll="0" sortType="ascending">
      <items count="3">
        <item x="0"/>
        <item x="1"/>
        <item t="default"/>
      </items>
      <autoSortScope>
        <pivotArea dataOnly="0" outline="0" fieldPosition="0">
          <references count="1">
            <reference field="4294967294" count="1" selected="0">
              <x v="0"/>
            </reference>
          </references>
        </pivotArea>
      </autoSortScope>
    </pivotField>
    <pivotField showAll="0">
      <items count="5">
        <item x="0"/>
        <item x="1"/>
        <item x="2"/>
        <item x="3"/>
        <item t="default"/>
      </items>
    </pivotField>
    <pivotField showAll="0">
      <items count="5">
        <item x="0"/>
        <item x="2"/>
        <item x="1"/>
        <item x="3"/>
        <item t="default"/>
      </items>
    </pivotField>
    <pivotField showAll="0"/>
    <pivotField showAll="0"/>
    <pivotField showAll="0"/>
    <pivotField dataField="1" showAll="0"/>
    <pivotField showAll="0"/>
    <pivotField showAll="0" defaultSubtotal="0"/>
    <pivotField showAll="0" defaultSubtotal="0">
      <items count="4">
        <item h="1" x="0"/>
        <item x="1"/>
        <item h="1" x="2"/>
        <item h="1" x="3"/>
      </items>
    </pivotField>
  </pivotFields>
  <rowFields count="1">
    <field x="1"/>
  </rowFields>
  <rowItems count="3">
    <i>
      <x v="1"/>
    </i>
    <i>
      <x/>
    </i>
    <i t="grand">
      <x/>
    </i>
  </rowItems>
  <colItems count="1">
    <i/>
  </colItems>
  <dataFields count="1">
    <dataField name="Sum of TotalPrice" fld="7" showDataAs="percentOfTotal" baseField="1" baseItem="0" numFmtId="10"/>
  </dataFields>
  <chartFormats count="10">
    <chartFormat chart="0" format="4">
      <pivotArea type="data" outline="0" fieldPosition="0">
        <references count="2">
          <reference field="4294967294" count="1" selected="0">
            <x v="0"/>
          </reference>
          <reference field="1" count="1" selected="0">
            <x v="0"/>
          </reference>
        </references>
      </pivotArea>
    </chartFormat>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2" format="37" series="1">
      <pivotArea type="data" outline="0" fieldPosition="0">
        <references count="1">
          <reference field="4294967294" count="1" selected="0">
            <x v="0"/>
          </reference>
        </references>
      </pivotArea>
    </chartFormat>
    <chartFormat chart="2" format="38">
      <pivotArea type="data" outline="0" fieldPosition="0">
        <references count="2">
          <reference field="4294967294" count="1" selected="0">
            <x v="0"/>
          </reference>
          <reference field="1" count="1" selected="0">
            <x v="1"/>
          </reference>
        </references>
      </pivotArea>
    </chartFormat>
    <chartFormat chart="2" format="39">
      <pivotArea type="data" outline="0" fieldPosition="0">
        <references count="2">
          <reference field="4294967294" count="1" selected="0">
            <x v="0"/>
          </reference>
          <reference field="1" count="1" selected="0">
            <x v="0"/>
          </reference>
        </references>
      </pivotArea>
    </chartFormat>
    <chartFormat chart="9" format="34" series="1">
      <pivotArea type="data" outline="0" fieldPosition="0">
        <references count="1">
          <reference field="4294967294" count="1" selected="0">
            <x v="0"/>
          </reference>
        </references>
      </pivotArea>
    </chartFormat>
    <chartFormat chart="9" format="35">
      <pivotArea type="data" outline="0" fieldPosition="0">
        <references count="2">
          <reference field="4294967294" count="1" selected="0">
            <x v="0"/>
          </reference>
          <reference field="1" count="1" selected="0">
            <x v="1"/>
          </reference>
        </references>
      </pivotArea>
    </chartFormat>
    <chartFormat chart="9" format="36">
      <pivotArea type="data" outline="0" fieldPosition="0">
        <references count="2">
          <reference field="4294967294" count="1" selected="0">
            <x v="0"/>
          </reference>
          <reference field="1" count="1" selected="0">
            <x v="0"/>
          </reference>
        </references>
      </pivotArea>
    </chartFormat>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6">
  <location ref="D3:E6" firstHeaderRow="1" firstDataRow="1" firstDataCol="1"/>
  <pivotFields count="11">
    <pivotField numFmtId="14"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items count="5">
        <item x="0"/>
        <item x="1"/>
        <item x="2"/>
        <item x="3"/>
        <item t="default"/>
      </items>
    </pivotField>
    <pivotField showAll="0">
      <items count="5">
        <item x="0"/>
        <item x="2"/>
        <item x="1"/>
        <item x="3"/>
        <item t="default"/>
      </items>
    </pivotField>
    <pivotField showAll="0"/>
    <pivotField showAll="0"/>
    <pivotField showAll="0"/>
    <pivotField dataField="1" showAll="0"/>
    <pivotField showAll="0"/>
    <pivotField showAll="0" defaultSubtotal="0"/>
    <pivotField showAll="0" defaultSubtotal="0">
      <items count="4">
        <item h="1" x="0"/>
        <item x="1"/>
        <item h="1" x="2"/>
        <item h="1" x="3"/>
      </items>
    </pivotField>
  </pivotFields>
  <rowFields count="1">
    <field x="1"/>
  </rowFields>
  <rowItems count="3">
    <i>
      <x/>
    </i>
    <i>
      <x v="1"/>
    </i>
    <i t="grand">
      <x/>
    </i>
  </rowItems>
  <colItems count="1">
    <i/>
  </colItems>
  <dataFields count="1">
    <dataField name="Sum of TotalPrice" fld="7" showDataAs="percentOfTotal" baseField="1" baseItem="0" numFmtId="10"/>
  </dataFields>
  <chartFormats count="22">
    <chartFormat chart="0" format="4">
      <pivotArea type="data" outline="0" fieldPosition="0">
        <references count="2">
          <reference field="4294967294" count="1" selected="0">
            <x v="0"/>
          </reference>
          <reference field="1" count="1" selected="0">
            <x v="0"/>
          </reference>
        </references>
      </pivotArea>
    </chartFormat>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2" format="37" series="1">
      <pivotArea type="data" outline="0" fieldPosition="0">
        <references count="1">
          <reference field="4294967294" count="1" selected="0">
            <x v="0"/>
          </reference>
        </references>
      </pivotArea>
    </chartFormat>
    <chartFormat chart="2" format="38">
      <pivotArea type="data" outline="0" fieldPosition="0">
        <references count="2">
          <reference field="4294967294" count="1" selected="0">
            <x v="0"/>
          </reference>
          <reference field="1" count="1" selected="0">
            <x v="1"/>
          </reference>
        </references>
      </pivotArea>
    </chartFormat>
    <chartFormat chart="2" format="39">
      <pivotArea type="data" outline="0" fieldPosition="0">
        <references count="2">
          <reference field="4294967294" count="1" selected="0">
            <x v="0"/>
          </reference>
          <reference field="1" count="1" selected="0">
            <x v="0"/>
          </reference>
        </references>
      </pivotArea>
    </chartFormat>
    <chartFormat chart="9" format="34" series="1">
      <pivotArea type="data" outline="0" fieldPosition="0">
        <references count="1">
          <reference field="4294967294" count="1" selected="0">
            <x v="0"/>
          </reference>
        </references>
      </pivotArea>
    </chartFormat>
    <chartFormat chart="9" format="35">
      <pivotArea type="data" outline="0" fieldPosition="0">
        <references count="2">
          <reference field="4294967294" count="1" selected="0">
            <x v="0"/>
          </reference>
          <reference field="1" count="1" selected="0">
            <x v="1"/>
          </reference>
        </references>
      </pivotArea>
    </chartFormat>
    <chartFormat chart="9" format="36">
      <pivotArea type="data" outline="0" fieldPosition="0">
        <references count="2">
          <reference field="4294967294" count="1" selected="0">
            <x v="0"/>
          </reference>
          <reference field="1" count="1" selected="0">
            <x v="0"/>
          </reference>
        </references>
      </pivotArea>
    </chartFormat>
    <chartFormat chart="10"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3" format="5">
      <pivotArea type="data" outline="0" fieldPosition="0">
        <references count="2">
          <reference field="4294967294" count="1" selected="0">
            <x v="0"/>
          </reference>
          <reference field="1" count="1" selected="0">
            <x v="0"/>
          </reference>
        </references>
      </pivotArea>
    </chartFormat>
    <chartFormat chart="13" format="6">
      <pivotArea type="data" outline="0" fieldPosition="0">
        <references count="2">
          <reference field="4294967294" count="1" selected="0">
            <x v="0"/>
          </reference>
          <reference field="1" count="1" selected="0">
            <x v="1"/>
          </reference>
        </references>
      </pivotArea>
    </chartFormat>
    <chartFormat chart="14" format="1" series="1">
      <pivotArea type="data" outline="0" fieldPosition="0">
        <references count="1">
          <reference field="4294967294" count="1" selected="0">
            <x v="0"/>
          </reference>
        </references>
      </pivotArea>
    </chartFormat>
    <chartFormat chart="14" format="2">
      <pivotArea type="data" outline="0" fieldPosition="0">
        <references count="2">
          <reference field="4294967294" count="1" selected="0">
            <x v="0"/>
          </reference>
          <reference field="1" count="1" selected="0">
            <x v="0"/>
          </reference>
        </references>
      </pivotArea>
    </chartFormat>
    <chartFormat chart="14" format="3">
      <pivotArea type="data" outline="0" fieldPosition="0">
        <references count="2">
          <reference field="4294967294" count="1" selected="0">
            <x v="0"/>
          </reference>
          <reference field="1"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pivotArea type="data" outline="0" fieldPosition="0">
        <references count="2">
          <reference field="4294967294" count="1" selected="0">
            <x v="0"/>
          </reference>
          <reference field="1" count="1" selected="0">
            <x v="0"/>
          </reference>
        </references>
      </pivotArea>
    </chartFormat>
    <chartFormat chart="15" format="6">
      <pivotArea type="data" outline="0" fieldPosition="0">
        <references count="2">
          <reference field="4294967294" count="1" selected="0">
            <x v="0"/>
          </reference>
          <reference field="1" count="1" selected="0">
            <x v="1"/>
          </reference>
        </references>
      </pivotArea>
    </chartFormat>
    <chartFormat chart="11" format="1">
      <pivotArea type="data" outline="0" fieldPosition="0">
        <references count="2">
          <reference field="4294967294" count="1" selected="0">
            <x v="0"/>
          </reference>
          <reference field="1" count="1" selected="0">
            <x v="0"/>
          </reference>
        </references>
      </pivotArea>
    </chartFormat>
    <chartFormat chart="11" format="2">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14" firstHeaderRow="1" firstDataRow="2" firstDataCol="1"/>
  <pivotFields count="11">
    <pivotField numFmtId="14" showAll="0"/>
    <pivotField axis="axisCol" showAll="0">
      <items count="3">
        <item x="0"/>
        <item x="1"/>
        <item t="default"/>
      </items>
    </pivotField>
    <pivotField showAll="0">
      <items count="5">
        <item x="0"/>
        <item x="1"/>
        <item x="2"/>
        <item x="3"/>
        <item t="default"/>
      </items>
    </pivotField>
    <pivotField showAll="0">
      <items count="5">
        <item x="0"/>
        <item x="2"/>
        <item x="1"/>
        <item x="3"/>
        <item t="default"/>
      </items>
    </pivotField>
    <pivotField axis="axisRow" showAll="0">
      <items count="10">
        <item x="3"/>
        <item x="8"/>
        <item x="6"/>
        <item x="0"/>
        <item x="2"/>
        <item x="5"/>
        <item x="4"/>
        <item x="7"/>
        <item x="1"/>
        <item t="default"/>
      </items>
    </pivotField>
    <pivotField showAll="0"/>
    <pivotField showAll="0"/>
    <pivotField dataField="1" showAll="0"/>
    <pivotField showAll="0"/>
    <pivotField showAll="0" defaultSubtotal="0"/>
    <pivotField showAll="0" defaultSubtotal="0">
      <items count="4">
        <item h="1" x="0"/>
        <item x="1"/>
        <item h="1" x="2"/>
        <item h="1" x="3"/>
      </items>
    </pivotField>
  </pivotFields>
  <rowFields count="1">
    <field x="4"/>
  </rowFields>
  <rowItems count="10">
    <i>
      <x/>
    </i>
    <i>
      <x v="1"/>
    </i>
    <i>
      <x v="2"/>
    </i>
    <i>
      <x v="3"/>
    </i>
    <i>
      <x v="4"/>
    </i>
    <i>
      <x v="5"/>
    </i>
    <i>
      <x v="6"/>
    </i>
    <i>
      <x v="7"/>
    </i>
    <i>
      <x v="8"/>
    </i>
    <i t="grand">
      <x/>
    </i>
  </rowItems>
  <colFields count="1">
    <field x="1"/>
  </colFields>
  <colItems count="3">
    <i>
      <x/>
    </i>
    <i>
      <x v="1"/>
    </i>
    <i t="grand">
      <x/>
    </i>
  </colItems>
  <dataFields count="1">
    <dataField name="Sum of TotalPrice" fld="7" baseField="4" baseItem="2" numFmtId="1"/>
  </dataField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2" format="4" series="1">
      <pivotArea type="data" outline="0" fieldPosition="0">
        <references count="2">
          <reference field="4294967294" count="1" selected="0">
            <x v="0"/>
          </reference>
          <reference field="1" count="1" selected="0">
            <x v="0"/>
          </reference>
        </references>
      </pivotArea>
    </chartFormat>
    <chartFormat chart="2" format="5"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F9" firstHeaderRow="1" firstDataRow="2" firstDataCol="1"/>
  <pivotFields count="11">
    <pivotField numFmtId="14" showAll="0"/>
    <pivotField showAll="0">
      <items count="3">
        <item x="0"/>
        <item x="1"/>
        <item t="default"/>
      </items>
    </pivotField>
    <pivotField axis="axisCol" showAll="0">
      <items count="5">
        <item x="0"/>
        <item x="1"/>
        <item x="2"/>
        <item x="3"/>
        <item t="default"/>
      </items>
    </pivotField>
    <pivotField axis="axisRow" showAll="0" sortType="ascending">
      <items count="5">
        <item x="0"/>
        <item x="2"/>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defaultSubtotal="0"/>
    <pivotField showAll="0" defaultSubtotal="0">
      <items count="4">
        <item h="1" x="0"/>
        <item x="1"/>
        <item h="1" x="2"/>
        <item h="1" x="3"/>
      </items>
    </pivotField>
  </pivotFields>
  <rowFields count="1">
    <field x="3"/>
  </rowFields>
  <rowItems count="5">
    <i>
      <x v="3"/>
    </i>
    <i>
      <x v="2"/>
    </i>
    <i>
      <x/>
    </i>
    <i>
      <x v="1"/>
    </i>
    <i t="grand">
      <x/>
    </i>
  </rowItems>
  <colFields count="1">
    <field x="2"/>
  </colFields>
  <colItems count="5">
    <i>
      <x/>
    </i>
    <i>
      <x v="1"/>
    </i>
    <i>
      <x v="2"/>
    </i>
    <i>
      <x v="3"/>
    </i>
    <i t="grand">
      <x/>
    </i>
  </colItems>
  <dataFields count="1">
    <dataField name="Sum of TotalPrice" fld="7" baseField="0" baseItem="0" numFmtId="1"/>
  </dataFields>
  <chartFormats count="24">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2" format="8" series="1">
      <pivotArea type="data" outline="0" fieldPosition="0">
        <references count="2">
          <reference field="4294967294" count="1" selected="0">
            <x v="0"/>
          </reference>
          <reference field="2" count="1" selected="0">
            <x v="0"/>
          </reference>
        </references>
      </pivotArea>
    </chartFormat>
    <chartFormat chart="2" format="9" series="1">
      <pivotArea type="data" outline="0" fieldPosition="0">
        <references count="2">
          <reference field="4294967294" count="1" selected="0">
            <x v="0"/>
          </reference>
          <reference field="2" count="1" selected="0">
            <x v="1"/>
          </reference>
        </references>
      </pivotArea>
    </chartFormat>
    <chartFormat chart="2" format="10" series="1">
      <pivotArea type="data" outline="0" fieldPosition="0">
        <references count="2">
          <reference field="4294967294" count="1" selected="0">
            <x v="0"/>
          </reference>
          <reference field="2" count="1" selected="0">
            <x v="2"/>
          </reference>
        </references>
      </pivotArea>
    </chartFormat>
    <chartFormat chart="2" format="11" series="1">
      <pivotArea type="data" outline="0" fieldPosition="0">
        <references count="2">
          <reference field="4294967294" count="1" selected="0">
            <x v="0"/>
          </reference>
          <reference field="2" count="1" selected="0">
            <x v="3"/>
          </reference>
        </references>
      </pivotArea>
    </chartFormat>
    <chartFormat chart="4" format="16" series="1">
      <pivotArea type="data" outline="0" fieldPosition="0">
        <references count="2">
          <reference field="4294967294" count="1" selected="0">
            <x v="0"/>
          </reference>
          <reference field="2" count="1" selected="0">
            <x v="0"/>
          </reference>
        </references>
      </pivotArea>
    </chartFormat>
    <chartFormat chart="4" format="17" series="1">
      <pivotArea type="data" outline="0" fieldPosition="0">
        <references count="2">
          <reference field="4294967294" count="1" selected="0">
            <x v="0"/>
          </reference>
          <reference field="2" count="1" selected="0">
            <x v="1"/>
          </reference>
        </references>
      </pivotArea>
    </chartFormat>
    <chartFormat chart="4" format="18" series="1">
      <pivotArea type="data" outline="0" fieldPosition="0">
        <references count="2">
          <reference field="4294967294" count="1" selected="0">
            <x v="0"/>
          </reference>
          <reference field="2" count="1" selected="0">
            <x v="2"/>
          </reference>
        </references>
      </pivotArea>
    </chartFormat>
    <chartFormat chart="4" format="19" series="1">
      <pivotArea type="data" outline="0" fieldPosition="0">
        <references count="2">
          <reference field="4294967294" count="1" selected="0">
            <x v="0"/>
          </reference>
          <reference field="2" count="1" selected="0">
            <x v="3"/>
          </reference>
        </references>
      </pivotArea>
    </chartFormat>
    <chartFormat chart="5" format="8" series="1">
      <pivotArea type="data" outline="0" fieldPosition="0">
        <references count="2">
          <reference field="4294967294" count="1" selected="0">
            <x v="0"/>
          </reference>
          <reference field="2" count="1" selected="0">
            <x v="0"/>
          </reference>
        </references>
      </pivotArea>
    </chartFormat>
    <chartFormat chart="5" format="9" series="1">
      <pivotArea type="data" outline="0" fieldPosition="0">
        <references count="2">
          <reference field="4294967294" count="1" selected="0">
            <x v="0"/>
          </reference>
          <reference field="2" count="1" selected="0">
            <x v="1"/>
          </reference>
        </references>
      </pivotArea>
    </chartFormat>
    <chartFormat chart="5" format="10" series="1">
      <pivotArea type="data" outline="0" fieldPosition="0">
        <references count="2">
          <reference field="4294967294" count="1" selected="0">
            <x v="0"/>
          </reference>
          <reference field="2" count="1" selected="0">
            <x v="2"/>
          </reference>
        </references>
      </pivotArea>
    </chartFormat>
    <chartFormat chart="5" format="11" series="1">
      <pivotArea type="data" outline="0" fieldPosition="0">
        <references count="2">
          <reference field="4294967294" count="1" selected="0">
            <x v="0"/>
          </reference>
          <reference field="2" count="1" selected="0">
            <x v="3"/>
          </reference>
        </references>
      </pivotArea>
    </chartFormat>
    <chartFormat chart="6" format="12" series="1">
      <pivotArea type="data" outline="0" fieldPosition="0">
        <references count="2">
          <reference field="4294967294" count="1" selected="0">
            <x v="0"/>
          </reference>
          <reference field="2" count="1" selected="0">
            <x v="0"/>
          </reference>
        </references>
      </pivotArea>
    </chartFormat>
    <chartFormat chart="6" format="13" series="1">
      <pivotArea type="data" outline="0" fieldPosition="0">
        <references count="2">
          <reference field="4294967294" count="1" selected="0">
            <x v="0"/>
          </reference>
          <reference field="2" count="1" selected="0">
            <x v="1"/>
          </reference>
        </references>
      </pivotArea>
    </chartFormat>
    <chartFormat chart="6" format="14" series="1">
      <pivotArea type="data" outline="0" fieldPosition="0">
        <references count="2">
          <reference field="4294967294" count="1" selected="0">
            <x v="0"/>
          </reference>
          <reference field="2" count="1" selected="0">
            <x v="2"/>
          </reference>
        </references>
      </pivotArea>
    </chartFormat>
    <chartFormat chart="6" format="15" series="1">
      <pivotArea type="data" outline="0" fieldPosition="0">
        <references count="2">
          <reference field="4294967294" count="1" selected="0">
            <x v="0"/>
          </reference>
          <reference field="2" count="1" selected="0">
            <x v="3"/>
          </reference>
        </references>
      </pivotArea>
    </chartFormat>
    <chartFormat chart="7" format="28" series="1">
      <pivotArea type="data" outline="0" fieldPosition="0">
        <references count="2">
          <reference field="4294967294" count="1" selected="0">
            <x v="0"/>
          </reference>
          <reference field="2" count="1" selected="0">
            <x v="0"/>
          </reference>
        </references>
      </pivotArea>
    </chartFormat>
    <chartFormat chart="7" format="29" series="1">
      <pivotArea type="data" outline="0" fieldPosition="0">
        <references count="2">
          <reference field="4294967294" count="1" selected="0">
            <x v="0"/>
          </reference>
          <reference field="2" count="1" selected="0">
            <x v="1"/>
          </reference>
        </references>
      </pivotArea>
    </chartFormat>
    <chartFormat chart="7" format="30" series="1">
      <pivotArea type="data" outline="0" fieldPosition="0">
        <references count="2">
          <reference field="4294967294" count="1" selected="0">
            <x v="0"/>
          </reference>
          <reference field="2" count="1" selected="0">
            <x v="2"/>
          </reference>
        </references>
      </pivotArea>
    </chartFormat>
    <chartFormat chart="7" format="31"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showDrill="0" useAutoFormatting="1" itemPrintTitles="1" createdVersion="6" indent="0" outline="1" outlineData="1" multipleFieldFilters="0" chartFormat="6">
  <location ref="A3:B16" firstHeaderRow="1" firstDataRow="1" firstDataCol="1"/>
  <pivotFields count="11">
    <pivotField axis="axisRow"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5">
        <item x="0"/>
        <item x="1"/>
        <item x="2"/>
        <item x="3"/>
        <item t="default"/>
      </items>
    </pivotField>
    <pivotField showAll="0">
      <items count="5">
        <item x="0"/>
        <item x="2"/>
        <item x="1"/>
        <item x="3"/>
        <item t="default"/>
      </items>
    </pivotField>
    <pivotField showAll="0"/>
    <pivotField showAll="0"/>
    <pivotField showAll="0"/>
    <pivotField showAll="0"/>
    <pivotField dataField="1" showAll="0"/>
    <pivotField showAll="0" defaultSubtotal="0">
      <items count="6">
        <item sd="0" x="0"/>
        <item sd="0" x="1"/>
        <item sd="0" x="2"/>
        <item sd="0" x="3"/>
        <item sd="0" x="4"/>
        <item sd="0" x="5"/>
      </items>
    </pivotField>
    <pivotField showAll="0" defaultSubtotal="0">
      <items count="4">
        <item h="1" sd="0" x="0"/>
        <item x="1"/>
        <item h="1" x="2"/>
        <item h="1" sd="0" x="3"/>
      </items>
    </pivotField>
  </pivotFields>
  <rowFields count="1">
    <field x="0"/>
  </rowFields>
  <rowItems count="13">
    <i>
      <x v="1"/>
    </i>
    <i>
      <x v="2"/>
    </i>
    <i>
      <x v="3"/>
    </i>
    <i>
      <x v="4"/>
    </i>
    <i>
      <x v="5"/>
    </i>
    <i>
      <x v="6"/>
    </i>
    <i>
      <x v="7"/>
    </i>
    <i>
      <x v="8"/>
    </i>
    <i>
      <x v="9"/>
    </i>
    <i>
      <x v="10"/>
    </i>
    <i>
      <x v="11"/>
    </i>
    <i>
      <x v="12"/>
    </i>
    <i t="grand">
      <x/>
    </i>
  </rowItems>
  <colItems count="1">
    <i/>
  </colItems>
  <dataFields count="1">
    <dataField name="Sum of Profit" fld="8" baseField="0" baseItem="0" numFmtId="165"/>
  </dataFields>
  <chartFormats count="2">
    <chartFormat chart="0" format="1"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3:E6" firstHeaderRow="1" firstDataRow="1" firstDataCol="1"/>
  <pivotFields count="11">
    <pivotField numFmtId="14"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items count="5">
        <item x="0"/>
        <item x="1"/>
        <item x="2"/>
        <item x="3"/>
        <item t="default"/>
      </items>
    </pivotField>
    <pivotField showAll="0">
      <items count="5">
        <item x="0"/>
        <item x="2"/>
        <item x="1"/>
        <item x="3"/>
        <item t="default"/>
      </items>
    </pivotField>
    <pivotField showAll="0"/>
    <pivotField showAll="0"/>
    <pivotField showAll="0"/>
    <pivotField showAll="0"/>
    <pivotField dataField="1" showAll="0"/>
    <pivotField showAll="0" defaultSubtotal="0"/>
    <pivotField showAll="0" defaultSubtotal="0">
      <items count="4">
        <item h="1" x="0"/>
        <item x="1"/>
        <item h="1" x="2"/>
        <item h="1" x="3"/>
      </items>
    </pivotField>
  </pivotFields>
  <rowFields count="1">
    <field x="1"/>
  </rowFields>
  <rowItems count="3">
    <i>
      <x/>
    </i>
    <i>
      <x v="1"/>
    </i>
    <i t="grand">
      <x/>
    </i>
  </rowItems>
  <colItems count="1">
    <i/>
  </colItems>
  <dataFields count="1">
    <dataField name="Sum of Profit" fld="8" showDataAs="percentOfTotal"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6" firstHeaderRow="1" firstDataRow="1" firstDataCol="1"/>
  <pivotFields count="11">
    <pivotField numFmtId="14" showAll="0"/>
    <pivotField axis="axisRow" showAll="0" sortType="ascending">
      <items count="3">
        <item x="0"/>
        <item x="1"/>
        <item t="default"/>
      </items>
      <autoSortScope>
        <pivotArea dataOnly="0" outline="0" fieldPosition="0">
          <references count="1">
            <reference field="4294967294" count="1" selected="0">
              <x v="0"/>
            </reference>
          </references>
        </pivotArea>
      </autoSortScope>
    </pivotField>
    <pivotField showAll="0">
      <items count="5">
        <item x="0"/>
        <item x="1"/>
        <item x="2"/>
        <item x="3"/>
        <item t="default"/>
      </items>
    </pivotField>
    <pivotField showAll="0">
      <items count="5">
        <item x="0"/>
        <item x="2"/>
        <item x="1"/>
        <item x="3"/>
        <item t="default"/>
      </items>
    </pivotField>
    <pivotField showAll="0"/>
    <pivotField showAll="0"/>
    <pivotField showAll="0"/>
    <pivotField showAll="0"/>
    <pivotField dataField="1" showAll="0"/>
    <pivotField showAll="0" defaultSubtotal="0"/>
    <pivotField showAll="0" defaultSubtotal="0">
      <items count="4">
        <item h="1" x="0"/>
        <item x="1"/>
        <item h="1" x="2"/>
        <item h="1" x="3"/>
      </items>
    </pivotField>
  </pivotFields>
  <rowFields count="1">
    <field x="1"/>
  </rowFields>
  <rowItems count="3">
    <i>
      <x v="1"/>
    </i>
    <i>
      <x/>
    </i>
    <i t="grand">
      <x/>
    </i>
  </rowItems>
  <colItems count="1">
    <i/>
  </colItems>
  <dataFields count="1">
    <dataField name="Sum of Profit" fld="8" showDataAs="percentOfTotal"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1"/>
          </reference>
        </references>
      </pivotArea>
    </chartFormat>
    <chartFormat chart="2" format="8">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14" firstHeaderRow="1" firstDataRow="2" firstDataCol="1"/>
  <pivotFields count="11">
    <pivotField numFmtId="14" showAll="0"/>
    <pivotField axis="axisCol" showAll="0">
      <items count="3">
        <item x="0"/>
        <item x="1"/>
        <item t="default"/>
      </items>
    </pivotField>
    <pivotField showAll="0">
      <items count="5">
        <item x="0"/>
        <item x="1"/>
        <item x="2"/>
        <item x="3"/>
        <item t="default"/>
      </items>
    </pivotField>
    <pivotField showAll="0">
      <items count="5">
        <item x="0"/>
        <item x="2"/>
        <item x="1"/>
        <item x="3"/>
        <item t="default"/>
      </items>
    </pivotField>
    <pivotField axis="axisRow" showAll="0">
      <items count="10">
        <item x="3"/>
        <item x="8"/>
        <item x="6"/>
        <item x="0"/>
        <item x="2"/>
        <item x="5"/>
        <item x="4"/>
        <item x="7"/>
        <item x="1"/>
        <item t="default"/>
      </items>
    </pivotField>
    <pivotField showAll="0"/>
    <pivotField showAll="0"/>
    <pivotField showAll="0"/>
    <pivotField dataField="1" showAll="0"/>
    <pivotField showAll="0" defaultSubtotal="0"/>
    <pivotField showAll="0" defaultSubtotal="0">
      <items count="4">
        <item h="1" x="0"/>
        <item x="1"/>
        <item h="1" x="2"/>
        <item h="1" x="3"/>
      </items>
    </pivotField>
  </pivotFields>
  <rowFields count="1">
    <field x="4"/>
  </rowFields>
  <rowItems count="10">
    <i>
      <x/>
    </i>
    <i>
      <x v="1"/>
    </i>
    <i>
      <x v="2"/>
    </i>
    <i>
      <x v="3"/>
    </i>
    <i>
      <x v="4"/>
    </i>
    <i>
      <x v="5"/>
    </i>
    <i>
      <x v="6"/>
    </i>
    <i>
      <x v="7"/>
    </i>
    <i>
      <x v="8"/>
    </i>
    <i t="grand">
      <x/>
    </i>
  </rowItems>
  <colFields count="1">
    <field x="1"/>
  </colFields>
  <colItems count="3">
    <i>
      <x/>
    </i>
    <i>
      <x v="1"/>
    </i>
    <i t="grand">
      <x/>
    </i>
  </colItems>
  <dataFields count="1">
    <dataField name="Sum of Profit" fld="8" baseField="0" baseItem="0" numFmtId="165"/>
  </dataFields>
  <chartFormats count="2">
    <chartFormat chart="2" format="4" series="1">
      <pivotArea type="data" outline="0" fieldPosition="0">
        <references count="2">
          <reference field="4294967294" count="1" selected="0">
            <x v="0"/>
          </reference>
          <reference field="1" count="1" selected="0">
            <x v="0"/>
          </reference>
        </references>
      </pivotArea>
    </chartFormat>
    <chartFormat chart="2" format="5"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F9" firstHeaderRow="1" firstDataRow="2" firstDataCol="1"/>
  <pivotFields count="11">
    <pivotField numFmtId="14" showAll="0"/>
    <pivotField showAll="0">
      <items count="3">
        <item x="0"/>
        <item x="1"/>
        <item t="default"/>
      </items>
    </pivotField>
    <pivotField axis="axisCol" showAll="0">
      <items count="5">
        <item x="0"/>
        <item x="1"/>
        <item x="2"/>
        <item x="3"/>
        <item t="default"/>
      </items>
    </pivotField>
    <pivotField axis="axisRow" showAll="0" sortType="ascending">
      <items count="5">
        <item x="0"/>
        <item x="2"/>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defaultSubtotal="0"/>
    <pivotField showAll="0" defaultSubtotal="0">
      <items count="4">
        <item h="1" x="0"/>
        <item x="1"/>
        <item h="1" x="2"/>
        <item h="1" x="3"/>
      </items>
    </pivotField>
  </pivotFields>
  <rowFields count="1">
    <field x="3"/>
  </rowFields>
  <rowItems count="5">
    <i>
      <x v="3"/>
    </i>
    <i>
      <x v="2"/>
    </i>
    <i>
      <x/>
    </i>
    <i>
      <x v="1"/>
    </i>
    <i t="grand">
      <x/>
    </i>
  </rowItems>
  <colFields count="1">
    <field x="2"/>
  </colFields>
  <colItems count="5">
    <i>
      <x/>
    </i>
    <i>
      <x v="1"/>
    </i>
    <i>
      <x v="2"/>
    </i>
    <i>
      <x v="3"/>
    </i>
    <i t="grand">
      <x/>
    </i>
  </colItems>
  <dataFields count="1">
    <dataField name="Sum of Profit" fld="8" baseField="0" baseItem="0" numFmtId="165"/>
  </dataFields>
  <chartFormats count="4">
    <chartFormat chart="2" format="8" series="1">
      <pivotArea type="data" outline="0" fieldPosition="0">
        <references count="2">
          <reference field="4294967294" count="1" selected="0">
            <x v="0"/>
          </reference>
          <reference field="2" count="1" selected="0">
            <x v="0"/>
          </reference>
        </references>
      </pivotArea>
    </chartFormat>
    <chartFormat chart="2" format="9" series="1">
      <pivotArea type="data" outline="0" fieldPosition="0">
        <references count="2">
          <reference field="4294967294" count="1" selected="0">
            <x v="0"/>
          </reference>
          <reference field="2" count="1" selected="0">
            <x v="1"/>
          </reference>
        </references>
      </pivotArea>
    </chartFormat>
    <chartFormat chart="2" format="10" series="1">
      <pivotArea type="data" outline="0" fieldPosition="0">
        <references count="2">
          <reference field="4294967294" count="1" selected="0">
            <x v="0"/>
          </reference>
          <reference field="2" count="1" selected="0">
            <x v="2"/>
          </reference>
        </references>
      </pivotArea>
    </chartFormat>
    <chartFormat chart="2" format="11"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B16" firstHeaderRow="1" firstDataRow="1" firstDataCol="1"/>
  <pivotFields count="11">
    <pivotField axis="axisRow" numFmtId="14" showAll="0" sortType="ascending">
      <items count="15">
        <item x="1"/>
        <item x="2"/>
        <item x="3"/>
        <item x="4"/>
        <item x="5"/>
        <item x="6"/>
        <item x="7"/>
        <item x="8"/>
        <item x="9"/>
        <item x="10"/>
        <item x="11"/>
        <item x="12"/>
        <item x="0"/>
        <item x="13"/>
        <item t="default"/>
      </items>
    </pivotField>
    <pivotField showAll="0">
      <items count="3">
        <item x="0"/>
        <item x="1"/>
        <item t="default"/>
      </items>
    </pivotField>
    <pivotField showAll="0">
      <items count="5">
        <item x="0"/>
        <item x="1"/>
        <item x="2"/>
        <item x="3"/>
        <item t="default"/>
      </items>
    </pivotField>
    <pivotField showAll="0">
      <items count="5">
        <item x="0"/>
        <item x="2"/>
        <item x="1"/>
        <item x="3"/>
        <item t="default"/>
      </items>
    </pivotField>
    <pivotField showAll="0"/>
    <pivotField showAll="0"/>
    <pivotField showAll="0"/>
    <pivotField dataField="1" showAll="0"/>
    <pivotField showAll="0"/>
    <pivotField showAll="0" defaultSubtotal="0">
      <items count="6">
        <item sd="0" x="0"/>
        <item sd="0" x="1"/>
        <item sd="0" x="2"/>
        <item sd="0" x="3"/>
        <item sd="0" x="4"/>
        <item sd="0" x="5"/>
      </items>
    </pivotField>
    <pivotField showAll="0" defaultSubtotal="0">
      <items count="4">
        <item h="1" x="0"/>
        <item x="1"/>
        <item h="1" x="2"/>
        <item h="1" x="3"/>
      </items>
    </pivotField>
  </pivotFields>
  <rowFields count="1">
    <field x="0"/>
  </rowFields>
  <rowItems count="13">
    <i>
      <x/>
    </i>
    <i>
      <x v="1"/>
    </i>
    <i>
      <x v="2"/>
    </i>
    <i>
      <x v="3"/>
    </i>
    <i>
      <x v="4"/>
    </i>
    <i>
      <x v="5"/>
    </i>
    <i>
      <x v="6"/>
    </i>
    <i>
      <x v="7"/>
    </i>
    <i>
      <x v="8"/>
    </i>
    <i>
      <x v="9"/>
    </i>
    <i>
      <x v="10"/>
    </i>
    <i>
      <x v="11"/>
    </i>
    <i t="grand">
      <x/>
    </i>
  </rowItems>
  <colItems count="1">
    <i/>
  </colItems>
  <dataFields count="1">
    <dataField name="Sum of TotalPrice" fld="7" baseField="0" baseItem="0"/>
  </dataFields>
  <chartFormats count="3">
    <chartFormat chart="3" format="7"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2" name="PivotTable1"/>
    <pivotTable tabId="25" name="PivotTable2"/>
    <pivotTable tabId="24" name="PivotTable1"/>
    <pivotTable tabId="29" name="PivotTable2"/>
    <pivotTable tabId="26" name="PivotTable1"/>
    <pivotTable tabId="28" name="PivotTable1"/>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22" name="PivotTable1"/>
    <pivotTable tabId="25" name="PivotTable2"/>
    <pivotTable tabId="23" name="PivotTable1"/>
    <pivotTable tabId="23" name="PivotTable2"/>
    <pivotTable tabId="24" name="PivotTable1"/>
    <pivotTable tabId="29" name="PivotTable2"/>
    <pivotTable tabId="26" name="PivotTable1"/>
    <pivotTable tabId="27" name="PivotTable2"/>
    <pivotTable tabId="27" name="PivotTable3"/>
    <pivotTable tabId="28" name="PivotTable1"/>
  </pivotTables>
  <data>
    <tabular pivotCacheId="1">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22" name="PivotTable1"/>
    <pivotTable tabId="25" name="PivotTable2"/>
    <pivotTable tabId="23" name="PivotTable1"/>
    <pivotTable tabId="23" name="PivotTable2"/>
    <pivotTable tabId="24" name="PivotTable1"/>
    <pivotTable tabId="29" name="PivotTable2"/>
    <pivotTable tabId="26" name="PivotTable1"/>
    <pivotTable tabId="27" name="PivotTable2"/>
    <pivotTable tabId="27" name="PivotTable3"/>
    <pivotTable tabId="28" name="PivotTable1"/>
  </pivotTables>
  <data>
    <tabular pivotCacheId="1">
      <items count="4">
        <i x="0" s="1"/>
        <i x="2" s="1"/>
        <i x="1" s="1"/>
        <i x="3"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22" name="PivotTable1"/>
    <pivotTable tabId="25" name="PivotTable2"/>
    <pivotTable tabId="23" name="PivotTable1"/>
    <pivotTable tabId="23" name="PivotTable2"/>
    <pivotTable tabId="24" name="PivotTable1"/>
    <pivotTable tabId="29" name="PivotTable2"/>
    <pivotTable tabId="26" name="PivotTable1"/>
    <pivotTable tabId="27" name="PivotTable2"/>
    <pivotTable tabId="27" name="PivotTable3"/>
    <pivotTable tabId="28" name="PivotTable1"/>
  </pivotTables>
  <data>
    <tabular pivotCacheId="1">
      <items count="4">
        <i x="1" s="1"/>
        <i x="2"/>
        <i x="0" nd="1"/>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style="SlicerStyleDark4" lockedPosition="1" rowHeight="182880"/>
  <slicer name="City" cache="Slicer_City" caption="City" style="SlicerStyleDark4" lockedPosition="1" rowHeight="182880"/>
  <slicer name="Category" cache="Slicer_Category" caption="Category" style="SlicerStyleDark4" lockedPosition="1" rowHeight="182880"/>
  <slicer name="Years" cache="Slicer_Years" caption="Years" columnCount="2" style="SlicerStyleDark4" lockedPosition="1" rowHeight="182880"/>
</slicers>
</file>

<file path=xl/tables/table1.xml><?xml version="1.0" encoding="utf-8"?>
<table xmlns="http://schemas.openxmlformats.org/spreadsheetml/2006/main" id="1" name="Sales_Data" displayName="Sales_Data" ref="A1:I245" totalsRowShown="0">
  <autoFilter ref="A1:I245"/>
  <sortState ref="A2:H245">
    <sortCondition ref="A2"/>
  </sortState>
  <tableColumns count="9">
    <tableColumn id="1" name="OrderDate" dataDxfId="3"/>
    <tableColumn id="2" name="Region"/>
    <tableColumn id="3" name="City"/>
    <tableColumn id="5" name="Category"/>
    <tableColumn id="6" name="Product"/>
    <tableColumn id="7" name="Quantity"/>
    <tableColumn id="4" name="UnitPrice" dataDxfId="2"/>
    <tableColumn id="14" name="TotalPrice" dataDxfId="1">
      <calculatedColumnFormula>Sales_Data[[#This Row],[Quantity]]*Sales_Data[[#This Row],[UnitPrice]]</calculatedColumnFormula>
    </tableColumn>
    <tableColumn id="8" name="Profit" dataDxfId="0"/>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1:N3"/>
  <sheetViews>
    <sheetView showGridLines="0" tabSelected="1" workbookViewId="0">
      <selection activeCell="B3" sqref="B3"/>
    </sheetView>
  </sheetViews>
  <sheetFormatPr defaultRowHeight="15" x14ac:dyDescent="0.25"/>
  <cols>
    <col min="1" max="16384" width="9.140625" style="7"/>
  </cols>
  <sheetData>
    <row r="1" spans="5:14" x14ac:dyDescent="0.25">
      <c r="E1" s="11" t="s">
        <v>45</v>
      </c>
      <c r="F1" s="11"/>
      <c r="G1" s="11"/>
      <c r="H1" s="11"/>
      <c r="I1" s="11"/>
      <c r="J1" s="11"/>
      <c r="K1" s="11"/>
      <c r="L1" s="11"/>
      <c r="M1" s="11"/>
      <c r="N1" s="11"/>
    </row>
    <row r="2" spans="5:14" x14ac:dyDescent="0.25">
      <c r="E2" s="11"/>
      <c r="F2" s="11"/>
      <c r="G2" s="11"/>
      <c r="H2" s="11"/>
      <c r="I2" s="11"/>
      <c r="J2" s="11"/>
      <c r="K2" s="11"/>
      <c r="L2" s="11"/>
      <c r="M2" s="11"/>
      <c r="N2" s="11"/>
    </row>
    <row r="3" spans="5:14" ht="8.25" customHeight="1" x14ac:dyDescent="0.25"/>
  </sheetData>
  <mergeCells count="1">
    <mergeCell ref="E1:N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G6"/>
  <sheetViews>
    <sheetView workbookViewId="0">
      <selection activeCell="G4" sqref="G4:G5"/>
    </sheetView>
  </sheetViews>
  <sheetFormatPr defaultRowHeight="15" x14ac:dyDescent="0.25"/>
  <cols>
    <col min="1" max="1" width="13.140625" bestFit="1" customWidth="1"/>
    <col min="2" max="2" width="16.5703125" bestFit="1" customWidth="1"/>
    <col min="4" max="4" width="13.140625" bestFit="1" customWidth="1"/>
    <col min="5" max="5" width="16.5703125" bestFit="1" customWidth="1"/>
  </cols>
  <sheetData>
    <row r="3" spans="1:7" x14ac:dyDescent="0.25">
      <c r="A3" s="3" t="s">
        <v>28</v>
      </c>
      <c r="B3" t="s">
        <v>42</v>
      </c>
      <c r="D3" s="3" t="s">
        <v>28</v>
      </c>
      <c r="E3" t="s">
        <v>42</v>
      </c>
    </row>
    <row r="4" spans="1:7" x14ac:dyDescent="0.25">
      <c r="A4" s="5" t="s">
        <v>19</v>
      </c>
      <c r="B4" s="8">
        <v>0.32642620406411604</v>
      </c>
      <c r="D4" s="5" t="s">
        <v>6</v>
      </c>
      <c r="E4" s="8">
        <v>0.67357379593588396</v>
      </c>
      <c r="G4" s="9">
        <f>GETPIVOTDATA("TotalPrice",$D$3,"Region","East")</f>
        <v>0.67357379593588396</v>
      </c>
    </row>
    <row r="5" spans="1:7" x14ac:dyDescent="0.25">
      <c r="A5" s="5" t="s">
        <v>6</v>
      </c>
      <c r="B5" s="8">
        <v>0.67357379593588396</v>
      </c>
      <c r="D5" s="5" t="s">
        <v>19</v>
      </c>
      <c r="E5" s="8">
        <v>0.32642620406411604</v>
      </c>
      <c r="G5" s="9">
        <f>GETPIVOTDATA("TotalPrice",$D$3,"Region","West")</f>
        <v>0.32642620406411604</v>
      </c>
    </row>
    <row r="6" spans="1:7" x14ac:dyDescent="0.25">
      <c r="A6" s="5" t="s">
        <v>29</v>
      </c>
      <c r="B6" s="8">
        <v>1</v>
      </c>
      <c r="D6" s="5" t="s">
        <v>29</v>
      </c>
      <c r="E6" s="8">
        <v>1</v>
      </c>
    </row>
  </sheetData>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D14"/>
  <sheetViews>
    <sheetView workbookViewId="0">
      <selection activeCell="B7" sqref="B7"/>
    </sheetView>
  </sheetViews>
  <sheetFormatPr defaultRowHeight="15" x14ac:dyDescent="0.25"/>
  <cols>
    <col min="1" max="1" width="16.5703125" customWidth="1"/>
    <col min="2" max="2" width="16.28515625" customWidth="1"/>
    <col min="3" max="3" width="5.7109375" bestFit="1" customWidth="1"/>
    <col min="4" max="4" width="11.28515625" bestFit="1" customWidth="1"/>
  </cols>
  <sheetData>
    <row r="3" spans="1:4" x14ac:dyDescent="0.25">
      <c r="A3" s="3" t="s">
        <v>42</v>
      </c>
      <c r="B3" s="3" t="s">
        <v>43</v>
      </c>
    </row>
    <row r="4" spans="1:4" x14ac:dyDescent="0.25">
      <c r="A4" s="3" t="s">
        <v>28</v>
      </c>
      <c r="B4" t="s">
        <v>6</v>
      </c>
      <c r="C4" t="s">
        <v>19</v>
      </c>
      <c r="D4" t="s">
        <v>29</v>
      </c>
    </row>
    <row r="5" spans="1:4" x14ac:dyDescent="0.25">
      <c r="A5" s="5" t="s">
        <v>8</v>
      </c>
      <c r="B5" s="2">
        <v>1951.1</v>
      </c>
      <c r="C5" s="2">
        <v>708.5</v>
      </c>
      <c r="D5" s="2">
        <v>2659.6</v>
      </c>
    </row>
    <row r="6" spans="1:4" x14ac:dyDescent="0.25">
      <c r="A6" s="5" t="s">
        <v>10</v>
      </c>
      <c r="B6" s="2">
        <v>68.099999999999994</v>
      </c>
      <c r="C6" s="2"/>
      <c r="D6" s="2">
        <v>68.099999999999994</v>
      </c>
    </row>
    <row r="7" spans="1:4" x14ac:dyDescent="0.25">
      <c r="A7" s="5" t="s">
        <v>11</v>
      </c>
      <c r="B7" s="2">
        <v>1097.69</v>
      </c>
      <c r="C7" s="2">
        <v>235.62000000000003</v>
      </c>
      <c r="D7" s="2">
        <v>1333.3100000000002</v>
      </c>
    </row>
    <row r="8" spans="1:4" x14ac:dyDescent="0.25">
      <c r="A8" s="5" t="s">
        <v>12</v>
      </c>
      <c r="B8" s="2">
        <v>2667.3900000000008</v>
      </c>
      <c r="C8" s="2">
        <v>1679.73</v>
      </c>
      <c r="D8" s="2">
        <v>4347.1200000000008</v>
      </c>
    </row>
    <row r="9" spans="1:4" x14ac:dyDescent="0.25">
      <c r="A9" s="5" t="s">
        <v>14</v>
      </c>
      <c r="B9" s="2">
        <v>914.42999999999984</v>
      </c>
      <c r="C9" s="2">
        <v>1183.71</v>
      </c>
      <c r="D9" s="2">
        <v>2098.14</v>
      </c>
    </row>
    <row r="10" spans="1:4" x14ac:dyDescent="0.25">
      <c r="A10" s="5" t="s">
        <v>15</v>
      </c>
      <c r="B10" s="2">
        <v>2467.96</v>
      </c>
      <c r="C10" s="2">
        <v>1170.0799999999997</v>
      </c>
      <c r="D10" s="2">
        <v>3638.04</v>
      </c>
    </row>
    <row r="11" spans="1:4" x14ac:dyDescent="0.25">
      <c r="A11" s="5" t="s">
        <v>17</v>
      </c>
      <c r="B11" s="2">
        <v>603.45000000000005</v>
      </c>
      <c r="C11" s="2">
        <v>653.52</v>
      </c>
      <c r="D11" s="2">
        <v>1256.97</v>
      </c>
    </row>
    <row r="12" spans="1:4" x14ac:dyDescent="0.25">
      <c r="A12" s="5" t="s">
        <v>24</v>
      </c>
      <c r="B12" s="2">
        <v>85.05</v>
      </c>
      <c r="C12" s="2"/>
      <c r="D12" s="2">
        <v>85.05</v>
      </c>
    </row>
    <row r="13" spans="1:4" x14ac:dyDescent="0.25">
      <c r="A13" s="5" t="s">
        <v>23</v>
      </c>
      <c r="B13" s="2">
        <v>2261.5200000000004</v>
      </c>
      <c r="C13" s="2">
        <v>240.81</v>
      </c>
      <c r="D13" s="2">
        <v>2502.3300000000004</v>
      </c>
    </row>
    <row r="14" spans="1:4" x14ac:dyDescent="0.25">
      <c r="A14" s="5" t="s">
        <v>29</v>
      </c>
      <c r="B14" s="2">
        <v>12116.690000000002</v>
      </c>
      <c r="C14" s="2">
        <v>5871.97</v>
      </c>
      <c r="D14" s="2">
        <v>17988.66</v>
      </c>
    </row>
  </sheetData>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F9"/>
  <sheetViews>
    <sheetView workbookViewId="0">
      <selection activeCell="F5" sqref="F5"/>
    </sheetView>
  </sheetViews>
  <sheetFormatPr defaultRowHeight="15" x14ac:dyDescent="0.25"/>
  <cols>
    <col min="1" max="1" width="16.5703125" customWidth="1"/>
    <col min="2" max="2" width="16.28515625" bestFit="1" customWidth="1"/>
    <col min="3" max="3" width="11.42578125" bestFit="1" customWidth="1"/>
    <col min="4" max="4" width="9.5703125" customWidth="1"/>
    <col min="5" max="5" width="9.7109375" customWidth="1"/>
    <col min="6" max="6" width="11.28515625" bestFit="1" customWidth="1"/>
  </cols>
  <sheetData>
    <row r="3" spans="1:6" x14ac:dyDescent="0.25">
      <c r="A3" s="3" t="s">
        <v>42</v>
      </c>
      <c r="B3" s="3" t="s">
        <v>43</v>
      </c>
    </row>
    <row r="4" spans="1:6" x14ac:dyDescent="0.25">
      <c r="A4" s="3" t="s">
        <v>28</v>
      </c>
      <c r="B4" t="s">
        <v>7</v>
      </c>
      <c r="C4" t="s">
        <v>20</v>
      </c>
      <c r="D4" t="s">
        <v>18</v>
      </c>
      <c r="E4" t="s">
        <v>21</v>
      </c>
      <c r="F4" t="s">
        <v>29</v>
      </c>
    </row>
    <row r="5" spans="1:6" x14ac:dyDescent="0.25">
      <c r="A5" s="5" t="s">
        <v>16</v>
      </c>
      <c r="B5" s="2">
        <v>310.17</v>
      </c>
      <c r="C5" s="2">
        <v>554.40000000000009</v>
      </c>
      <c r="D5" s="2">
        <v>378.33</v>
      </c>
      <c r="E5" s="2">
        <v>99.12</v>
      </c>
      <c r="F5" s="2">
        <v>1342.02</v>
      </c>
    </row>
    <row r="6" spans="1:6" x14ac:dyDescent="0.25">
      <c r="A6" s="5" t="s">
        <v>22</v>
      </c>
      <c r="B6" s="2">
        <v>1964.8699999999997</v>
      </c>
      <c r="C6" s="2">
        <v>73.290000000000006</v>
      </c>
      <c r="D6" s="2">
        <v>296.64999999999998</v>
      </c>
      <c r="E6" s="2">
        <v>167.51999999999998</v>
      </c>
      <c r="F6" s="2">
        <v>2502.3299999999995</v>
      </c>
    </row>
    <row r="7" spans="1:6" x14ac:dyDescent="0.25">
      <c r="A7" s="5" t="s">
        <v>9</v>
      </c>
      <c r="B7" s="2">
        <v>2090.58</v>
      </c>
      <c r="C7" s="2">
        <v>1476.8399999999997</v>
      </c>
      <c r="D7" s="2">
        <v>1742.5999999999997</v>
      </c>
      <c r="E7" s="2">
        <v>438.50999999999993</v>
      </c>
      <c r="F7" s="2">
        <v>5748.53</v>
      </c>
    </row>
    <row r="8" spans="1:6" x14ac:dyDescent="0.25">
      <c r="A8" s="5" t="s">
        <v>13</v>
      </c>
      <c r="B8" s="2">
        <v>2877.16</v>
      </c>
      <c r="C8" s="2">
        <v>1670.86</v>
      </c>
      <c r="D8" s="2">
        <v>2456.33</v>
      </c>
      <c r="E8" s="2">
        <v>1391.4299999999998</v>
      </c>
      <c r="F8" s="2">
        <v>8395.7799999999988</v>
      </c>
    </row>
    <row r="9" spans="1:6" x14ac:dyDescent="0.25">
      <c r="A9" s="5" t="s">
        <v>29</v>
      </c>
      <c r="B9" s="2">
        <v>7242.78</v>
      </c>
      <c r="C9" s="2">
        <v>3775.39</v>
      </c>
      <c r="D9" s="2">
        <v>4873.9099999999989</v>
      </c>
      <c r="E9" s="2">
        <v>2096.58</v>
      </c>
      <c r="F9" s="2">
        <v>17988.659999999996</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B16"/>
  <sheetViews>
    <sheetView workbookViewId="0">
      <selection activeCell="N21" sqref="N21"/>
    </sheetView>
  </sheetViews>
  <sheetFormatPr defaultRowHeight="15" x14ac:dyDescent="0.25"/>
  <cols>
    <col min="1" max="1" width="13.140625" bestFit="1" customWidth="1"/>
    <col min="2" max="2" width="12.5703125" bestFit="1" customWidth="1"/>
  </cols>
  <sheetData>
    <row r="3" spans="1:2" x14ac:dyDescent="0.25">
      <c r="A3" s="3" t="s">
        <v>28</v>
      </c>
      <c r="B3" t="s">
        <v>44</v>
      </c>
    </row>
    <row r="4" spans="1:2" x14ac:dyDescent="0.25">
      <c r="A4" s="4" t="s">
        <v>30</v>
      </c>
      <c r="B4" s="10">
        <v>1583.2384999999999</v>
      </c>
    </row>
    <row r="5" spans="1:2" x14ac:dyDescent="0.25">
      <c r="A5" s="4" t="s">
        <v>31</v>
      </c>
      <c r="B5" s="10">
        <v>786.49009999999998</v>
      </c>
    </row>
    <row r="6" spans="1:2" x14ac:dyDescent="0.25">
      <c r="A6" s="4" t="s">
        <v>32</v>
      </c>
      <c r="B6" s="10">
        <v>1479.0741</v>
      </c>
    </row>
    <row r="7" spans="1:2" x14ac:dyDescent="0.25">
      <c r="A7" s="4" t="s">
        <v>33</v>
      </c>
      <c r="B7" s="10">
        <v>997.9384</v>
      </c>
    </row>
    <row r="8" spans="1:2" x14ac:dyDescent="0.25">
      <c r="A8" s="4" t="s">
        <v>34</v>
      </c>
      <c r="B8" s="10">
        <v>1263.5237</v>
      </c>
    </row>
    <row r="9" spans="1:2" x14ac:dyDescent="0.25">
      <c r="A9" s="4" t="s">
        <v>35</v>
      </c>
      <c r="B9" s="10">
        <v>2152.2022000000002</v>
      </c>
    </row>
    <row r="10" spans="1:2" x14ac:dyDescent="0.25">
      <c r="A10" s="4" t="s">
        <v>36</v>
      </c>
      <c r="B10" s="10">
        <v>1147.4096999999999</v>
      </c>
    </row>
    <row r="11" spans="1:2" x14ac:dyDescent="0.25">
      <c r="A11" s="4" t="s">
        <v>37</v>
      </c>
      <c r="B11" s="10">
        <v>1320.1694000000002</v>
      </c>
    </row>
    <row r="12" spans="1:2" x14ac:dyDescent="0.25">
      <c r="A12" s="4" t="s">
        <v>38</v>
      </c>
      <c r="B12" s="10">
        <v>1374.6432000000002</v>
      </c>
    </row>
    <row r="13" spans="1:2" x14ac:dyDescent="0.25">
      <c r="A13" s="4" t="s">
        <v>39</v>
      </c>
      <c r="B13" s="10">
        <v>1541.1595000000004</v>
      </c>
    </row>
    <row r="14" spans="1:2" x14ac:dyDescent="0.25">
      <c r="A14" s="4" t="s">
        <v>40</v>
      </c>
      <c r="B14" s="10">
        <v>1164.0605</v>
      </c>
    </row>
    <row r="15" spans="1:2" x14ac:dyDescent="0.25">
      <c r="A15" s="4" t="s">
        <v>41</v>
      </c>
      <c r="B15" s="10">
        <v>1447.5437999999999</v>
      </c>
    </row>
    <row r="16" spans="1:2" x14ac:dyDescent="0.25">
      <c r="A16" s="4" t="s">
        <v>29</v>
      </c>
      <c r="B16" s="10">
        <v>16257.453100000001</v>
      </c>
    </row>
  </sheetData>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H6"/>
  <sheetViews>
    <sheetView workbookViewId="0">
      <selection activeCell="D4" sqref="D4"/>
    </sheetView>
  </sheetViews>
  <sheetFormatPr defaultRowHeight="15" x14ac:dyDescent="0.25"/>
  <cols>
    <col min="1" max="1" width="13.140625" bestFit="1" customWidth="1"/>
    <col min="2" max="2" width="12.5703125" bestFit="1" customWidth="1"/>
    <col min="4" max="4" width="13.140625" bestFit="1" customWidth="1"/>
    <col min="5" max="5" width="12.5703125" bestFit="1" customWidth="1"/>
  </cols>
  <sheetData>
    <row r="3" spans="1:8" x14ac:dyDescent="0.25">
      <c r="A3" s="3" t="s">
        <v>28</v>
      </c>
      <c r="B3" t="s">
        <v>44</v>
      </c>
      <c r="D3" s="3" t="s">
        <v>28</v>
      </c>
      <c r="E3" t="s">
        <v>44</v>
      </c>
    </row>
    <row r="4" spans="1:8" x14ac:dyDescent="0.25">
      <c r="A4" s="5" t="s">
        <v>19</v>
      </c>
      <c r="B4" s="8">
        <v>0.33267968031228712</v>
      </c>
      <c r="D4" s="5" t="s">
        <v>6</v>
      </c>
      <c r="E4" s="8">
        <v>0.66732031968771288</v>
      </c>
      <c r="G4" t="s">
        <v>19</v>
      </c>
      <c r="H4" s="9">
        <f>GETPIVOTDATA("Profit",$D$3,"Region","West")</f>
        <v>0.33267968031228712</v>
      </c>
    </row>
    <row r="5" spans="1:8" x14ac:dyDescent="0.25">
      <c r="A5" s="5" t="s">
        <v>6</v>
      </c>
      <c r="B5" s="8">
        <v>0.66732031968771288</v>
      </c>
      <c r="D5" s="5" t="s">
        <v>19</v>
      </c>
      <c r="E5" s="8">
        <v>0.33267968031228712</v>
      </c>
      <c r="G5" t="s">
        <v>6</v>
      </c>
      <c r="H5" s="9">
        <f>GETPIVOTDATA("Profit",$D$3,"Region","East")</f>
        <v>0.66732031968771288</v>
      </c>
    </row>
    <row r="6" spans="1:8" x14ac:dyDescent="0.25">
      <c r="A6" s="5" t="s">
        <v>29</v>
      </c>
      <c r="B6" s="8">
        <v>1</v>
      </c>
      <c r="D6" s="5" t="s">
        <v>29</v>
      </c>
      <c r="E6" s="8">
        <v>1</v>
      </c>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D14"/>
  <sheetViews>
    <sheetView workbookViewId="0">
      <selection activeCell="B6" sqref="B6"/>
    </sheetView>
  </sheetViews>
  <sheetFormatPr defaultRowHeight="15" x14ac:dyDescent="0.25"/>
  <cols>
    <col min="1" max="1" width="14.42578125" bestFit="1" customWidth="1"/>
    <col min="2" max="2" width="16.28515625" bestFit="1" customWidth="1"/>
    <col min="3" max="3" width="6.5703125" bestFit="1" customWidth="1"/>
    <col min="4" max="4" width="11.28515625" bestFit="1" customWidth="1"/>
  </cols>
  <sheetData>
    <row r="3" spans="1:4" x14ac:dyDescent="0.25">
      <c r="A3" s="3" t="s">
        <v>44</v>
      </c>
      <c r="B3" s="3" t="s">
        <v>43</v>
      </c>
    </row>
    <row r="4" spans="1:4" x14ac:dyDescent="0.25">
      <c r="A4" s="3" t="s">
        <v>28</v>
      </c>
      <c r="B4" t="s">
        <v>6</v>
      </c>
      <c r="C4" t="s">
        <v>19</v>
      </c>
      <c r="D4" t="s">
        <v>29</v>
      </c>
    </row>
    <row r="5" spans="1:4" x14ac:dyDescent="0.25">
      <c r="A5" s="5" t="s">
        <v>8</v>
      </c>
      <c r="B5" s="10">
        <v>1717.8835999999999</v>
      </c>
      <c r="C5" s="10">
        <v>649.33479999999986</v>
      </c>
      <c r="D5" s="10">
        <v>2367.2183999999997</v>
      </c>
    </row>
    <row r="6" spans="1:4" x14ac:dyDescent="0.25">
      <c r="A6" s="5" t="s">
        <v>10</v>
      </c>
      <c r="B6" s="10">
        <v>56.522999999999996</v>
      </c>
      <c r="C6" s="10"/>
      <c r="D6" s="10">
        <v>56.522999999999996</v>
      </c>
    </row>
    <row r="7" spans="1:4" x14ac:dyDescent="0.25">
      <c r="A7" s="5" t="s">
        <v>11</v>
      </c>
      <c r="B7" s="10">
        <v>952.74630000000002</v>
      </c>
      <c r="C7" s="10">
        <v>209.81400000000002</v>
      </c>
      <c r="D7" s="10">
        <v>1162.5603000000001</v>
      </c>
    </row>
    <row r="8" spans="1:4" x14ac:dyDescent="0.25">
      <c r="A8" s="5" t="s">
        <v>12</v>
      </c>
      <c r="B8" s="10">
        <v>2421.0768000000003</v>
      </c>
      <c r="C8" s="10">
        <v>1529.5278000000003</v>
      </c>
      <c r="D8" s="10">
        <v>3950.6046000000006</v>
      </c>
    </row>
    <row r="9" spans="1:4" x14ac:dyDescent="0.25">
      <c r="A9" s="5" t="s">
        <v>14</v>
      </c>
      <c r="B9" s="10">
        <v>818.36809999999991</v>
      </c>
      <c r="C9" s="10">
        <v>1077.4753000000001</v>
      </c>
      <c r="D9" s="10">
        <v>1895.8434</v>
      </c>
    </row>
    <row r="10" spans="1:4" x14ac:dyDescent="0.25">
      <c r="A10" s="5" t="s">
        <v>15</v>
      </c>
      <c r="B10" s="10">
        <v>2190.3784000000001</v>
      </c>
      <c r="C10" s="10">
        <v>1100.6419999999998</v>
      </c>
      <c r="D10" s="10">
        <v>3291.0203999999999</v>
      </c>
    </row>
    <row r="11" spans="1:4" x14ac:dyDescent="0.25">
      <c r="A11" s="5" t="s">
        <v>17</v>
      </c>
      <c r="B11" s="10">
        <v>563.38469999999995</v>
      </c>
      <c r="C11" s="10">
        <v>613.06560000000002</v>
      </c>
      <c r="D11" s="10">
        <v>1176.4503</v>
      </c>
    </row>
    <row r="12" spans="1:4" x14ac:dyDescent="0.25">
      <c r="A12" s="5" t="s">
        <v>24</v>
      </c>
      <c r="B12" s="10">
        <v>81.647999999999996</v>
      </c>
      <c r="C12" s="10"/>
      <c r="D12" s="10">
        <v>81.647999999999996</v>
      </c>
    </row>
    <row r="13" spans="1:4" x14ac:dyDescent="0.25">
      <c r="A13" s="5" t="s">
        <v>23</v>
      </c>
      <c r="B13" s="10">
        <v>2046.9199000000003</v>
      </c>
      <c r="C13" s="10">
        <v>228.66480000000001</v>
      </c>
      <c r="D13" s="10">
        <v>2275.5847000000003</v>
      </c>
    </row>
    <row r="14" spans="1:4" x14ac:dyDescent="0.25">
      <c r="A14" s="5" t="s">
        <v>29</v>
      </c>
      <c r="B14" s="10">
        <v>10848.9288</v>
      </c>
      <c r="C14" s="10">
        <v>5408.5243000000009</v>
      </c>
      <c r="D14" s="10">
        <v>16257.453099999999</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3:F9"/>
  <sheetViews>
    <sheetView workbookViewId="0">
      <selection activeCell="F5" sqref="F5"/>
    </sheetView>
  </sheetViews>
  <sheetFormatPr defaultRowHeight="15" x14ac:dyDescent="0.25"/>
  <cols>
    <col min="1" max="1" width="13.140625" bestFit="1" customWidth="1"/>
    <col min="2" max="2" width="16.28515625" bestFit="1" customWidth="1"/>
    <col min="3" max="3" width="11.42578125" bestFit="1" customWidth="1"/>
    <col min="4" max="4" width="9.5703125" customWidth="1"/>
    <col min="5" max="5" width="9.7109375" customWidth="1"/>
    <col min="6" max="6" width="11.28515625" bestFit="1" customWidth="1"/>
  </cols>
  <sheetData>
    <row r="3" spans="1:6" x14ac:dyDescent="0.25">
      <c r="A3" s="3" t="s">
        <v>44</v>
      </c>
      <c r="B3" s="3" t="s">
        <v>43</v>
      </c>
    </row>
    <row r="4" spans="1:6" x14ac:dyDescent="0.25">
      <c r="A4" s="3" t="s">
        <v>28</v>
      </c>
      <c r="B4" t="s">
        <v>7</v>
      </c>
      <c r="C4" t="s">
        <v>20</v>
      </c>
      <c r="D4" t="s">
        <v>18</v>
      </c>
      <c r="E4" t="s">
        <v>21</v>
      </c>
      <c r="F4" t="s">
        <v>29</v>
      </c>
    </row>
    <row r="5" spans="1:6" x14ac:dyDescent="0.25">
      <c r="A5" s="5" t="s">
        <v>16</v>
      </c>
      <c r="B5" s="10">
        <v>300.01440000000002</v>
      </c>
      <c r="C5" s="10">
        <v>521.70719999999994</v>
      </c>
      <c r="D5" s="10">
        <v>345.01830000000001</v>
      </c>
      <c r="E5" s="10">
        <v>91.358399999999989</v>
      </c>
      <c r="F5" s="10">
        <v>1258.0983000000001</v>
      </c>
    </row>
    <row r="6" spans="1:6" x14ac:dyDescent="0.25">
      <c r="A6" s="5" t="s">
        <v>22</v>
      </c>
      <c r="B6" s="10">
        <v>1767.6501000000003</v>
      </c>
      <c r="C6" s="10">
        <v>64.495200000000011</v>
      </c>
      <c r="D6" s="10">
        <v>279.26979999999998</v>
      </c>
      <c r="E6" s="10">
        <v>164.1696</v>
      </c>
      <c r="F6" s="10">
        <v>2275.5847000000003</v>
      </c>
    </row>
    <row r="7" spans="1:6" x14ac:dyDescent="0.25">
      <c r="A7" s="5" t="s">
        <v>9</v>
      </c>
      <c r="B7" s="10">
        <v>1883.2601</v>
      </c>
      <c r="C7" s="10">
        <v>1347.9423000000002</v>
      </c>
      <c r="D7" s="10">
        <v>1547.0859999999998</v>
      </c>
      <c r="E7" s="10">
        <v>391.39949999999999</v>
      </c>
      <c r="F7" s="10">
        <v>5169.687899999999</v>
      </c>
    </row>
    <row r="8" spans="1:6" x14ac:dyDescent="0.25">
      <c r="A8" s="5" t="s">
        <v>13</v>
      </c>
      <c r="B8" s="10">
        <v>2556.1248999999998</v>
      </c>
      <c r="C8" s="10">
        <v>1553.9371000000003</v>
      </c>
      <c r="D8" s="10">
        <v>2170.5052000000001</v>
      </c>
      <c r="E8" s="10">
        <v>1273.5149999999999</v>
      </c>
      <c r="F8" s="10">
        <v>7554.0821999999989</v>
      </c>
    </row>
    <row r="9" spans="1:6" x14ac:dyDescent="0.25">
      <c r="A9" s="5" t="s">
        <v>29</v>
      </c>
      <c r="B9" s="10">
        <v>6507.049500000001</v>
      </c>
      <c r="C9" s="10">
        <v>3488.0818000000004</v>
      </c>
      <c r="D9" s="10">
        <v>4341.8792999999996</v>
      </c>
      <c r="E9" s="10">
        <v>1920.4424999999999</v>
      </c>
      <c r="F9" s="10">
        <v>16257.453099999997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45"/>
  <sheetViews>
    <sheetView zoomScaleNormal="100" zoomScaleSheetLayoutView="80" workbookViewId="0">
      <pane ySplit="1" topLeftCell="A2" activePane="bottomLeft" state="frozen"/>
      <selection pane="bottomLeft"/>
    </sheetView>
  </sheetViews>
  <sheetFormatPr defaultRowHeight="15" x14ac:dyDescent="0.25"/>
  <cols>
    <col min="1" max="1" width="11.42578125" style="1" customWidth="1"/>
    <col min="2" max="2" width="6.5703125" customWidth="1"/>
    <col min="3" max="3" width="8.5703125" customWidth="1"/>
    <col min="4" max="4" width="11.140625" bestFit="1" customWidth="1"/>
    <col min="5" max="5" width="10.42578125" customWidth="1"/>
    <col min="8" max="8" width="11.140625" customWidth="1"/>
  </cols>
  <sheetData>
    <row r="1" spans="1:10" x14ac:dyDescent="0.25">
      <c r="A1" s="1" t="s">
        <v>0</v>
      </c>
      <c r="B1" t="s">
        <v>1</v>
      </c>
      <c r="C1" t="s">
        <v>2</v>
      </c>
      <c r="D1" t="s">
        <v>3</v>
      </c>
      <c r="E1" t="s">
        <v>4</v>
      </c>
      <c r="F1" t="s">
        <v>25</v>
      </c>
      <c r="G1" t="s">
        <v>26</v>
      </c>
      <c r="H1" t="s">
        <v>5</v>
      </c>
      <c r="I1" t="s">
        <v>27</v>
      </c>
    </row>
    <row r="2" spans="1:10" x14ac:dyDescent="0.25">
      <c r="A2" s="1">
        <v>43831</v>
      </c>
      <c r="B2" t="s">
        <v>6</v>
      </c>
      <c r="C2" t="s">
        <v>7</v>
      </c>
      <c r="D2" t="s">
        <v>9</v>
      </c>
      <c r="E2" t="s">
        <v>12</v>
      </c>
      <c r="F2">
        <v>33</v>
      </c>
      <c r="G2">
        <v>1.7699999999999998</v>
      </c>
      <c r="H2">
        <f>Sales_Data[[#This Row],[Quantity]]*Sales_Data[[#This Row],[UnitPrice]]</f>
        <v>58.41</v>
      </c>
      <c r="I2">
        <v>53.153099999999995</v>
      </c>
      <c r="J2" s="2"/>
    </row>
    <row r="3" spans="1:10" x14ac:dyDescent="0.25">
      <c r="A3" s="1">
        <v>43834</v>
      </c>
      <c r="B3" t="s">
        <v>6</v>
      </c>
      <c r="C3" t="s">
        <v>7</v>
      </c>
      <c r="D3" t="s">
        <v>22</v>
      </c>
      <c r="E3" t="s">
        <v>23</v>
      </c>
      <c r="F3">
        <v>87</v>
      </c>
      <c r="G3">
        <v>3.4899999999999998</v>
      </c>
      <c r="H3">
        <f>Sales_Data[[#This Row],[Quantity]]*Sales_Data[[#This Row],[UnitPrice]]</f>
        <v>303.63</v>
      </c>
      <c r="I3">
        <v>248.97659999999999</v>
      </c>
      <c r="J3" s="2"/>
    </row>
    <row r="4" spans="1:10" x14ac:dyDescent="0.25">
      <c r="A4" s="1">
        <v>43837</v>
      </c>
      <c r="B4" t="s">
        <v>19</v>
      </c>
      <c r="C4" t="s">
        <v>20</v>
      </c>
      <c r="D4" t="s">
        <v>13</v>
      </c>
      <c r="E4" t="s">
        <v>14</v>
      </c>
      <c r="F4">
        <v>58</v>
      </c>
      <c r="G4">
        <v>1.8699999999999999</v>
      </c>
      <c r="H4">
        <f>Sales_Data[[#This Row],[Quantity]]*Sales_Data[[#This Row],[UnitPrice]]</f>
        <v>108.46</v>
      </c>
      <c r="I4">
        <v>101.9524</v>
      </c>
      <c r="J4" s="2"/>
    </row>
    <row r="5" spans="1:10" x14ac:dyDescent="0.25">
      <c r="A5" s="1">
        <v>43840</v>
      </c>
      <c r="B5" t="s">
        <v>6</v>
      </c>
      <c r="C5" t="s">
        <v>18</v>
      </c>
      <c r="D5" t="s">
        <v>13</v>
      </c>
      <c r="E5" t="s">
        <v>14</v>
      </c>
      <c r="F5">
        <v>82</v>
      </c>
      <c r="G5">
        <v>1.87</v>
      </c>
      <c r="H5">
        <f>Sales_Data[[#This Row],[Quantity]]*Sales_Data[[#This Row],[UnitPrice]]</f>
        <v>153.34</v>
      </c>
      <c r="I5">
        <v>151.8066</v>
      </c>
      <c r="J5" s="2"/>
    </row>
    <row r="6" spans="1:10" x14ac:dyDescent="0.25">
      <c r="A6" s="1">
        <v>43843</v>
      </c>
      <c r="B6" t="s">
        <v>6</v>
      </c>
      <c r="C6" t="s">
        <v>7</v>
      </c>
      <c r="D6" t="s">
        <v>13</v>
      </c>
      <c r="E6" t="s">
        <v>8</v>
      </c>
      <c r="F6">
        <v>38</v>
      </c>
      <c r="G6">
        <v>2.1800000000000002</v>
      </c>
      <c r="H6">
        <f>Sales_Data[[#This Row],[Quantity]]*Sales_Data[[#This Row],[UnitPrice]]</f>
        <v>82.84</v>
      </c>
      <c r="I6">
        <v>79.52640000000001</v>
      </c>
      <c r="J6" s="2"/>
    </row>
    <row r="7" spans="1:10" x14ac:dyDescent="0.25">
      <c r="A7" s="1">
        <v>43846</v>
      </c>
      <c r="B7" t="s">
        <v>6</v>
      </c>
      <c r="C7" t="s">
        <v>7</v>
      </c>
      <c r="D7" t="s">
        <v>9</v>
      </c>
      <c r="E7" t="s">
        <v>12</v>
      </c>
      <c r="F7">
        <v>54</v>
      </c>
      <c r="G7">
        <v>1.77</v>
      </c>
      <c r="H7">
        <f>Sales_Data[[#This Row],[Quantity]]*Sales_Data[[#This Row],[UnitPrice]]</f>
        <v>95.58</v>
      </c>
      <c r="I7">
        <v>86.977800000000002</v>
      </c>
      <c r="J7" s="2"/>
    </row>
    <row r="8" spans="1:10" x14ac:dyDescent="0.25">
      <c r="A8" s="1">
        <v>43849</v>
      </c>
      <c r="B8" t="s">
        <v>6</v>
      </c>
      <c r="C8" t="s">
        <v>7</v>
      </c>
      <c r="D8" t="s">
        <v>22</v>
      </c>
      <c r="E8" t="s">
        <v>23</v>
      </c>
      <c r="F8">
        <v>149</v>
      </c>
      <c r="G8">
        <v>3.4899999999999998</v>
      </c>
      <c r="H8">
        <f>Sales_Data[[#This Row],[Quantity]]*Sales_Data[[#This Row],[UnitPrice]]</f>
        <v>520.01</v>
      </c>
      <c r="I8">
        <v>509.60980000000001</v>
      </c>
      <c r="J8" s="2"/>
    </row>
    <row r="9" spans="1:10" x14ac:dyDescent="0.25">
      <c r="A9" s="1">
        <v>43852</v>
      </c>
      <c r="B9" t="s">
        <v>19</v>
      </c>
      <c r="C9" t="s">
        <v>20</v>
      </c>
      <c r="D9" t="s">
        <v>9</v>
      </c>
      <c r="E9" t="s">
        <v>12</v>
      </c>
      <c r="F9">
        <v>51</v>
      </c>
      <c r="G9">
        <v>1.77</v>
      </c>
      <c r="H9">
        <f>Sales_Data[[#This Row],[Quantity]]*Sales_Data[[#This Row],[UnitPrice]]</f>
        <v>90.27</v>
      </c>
      <c r="I9">
        <v>77.632199999999997</v>
      </c>
      <c r="J9" s="2"/>
    </row>
    <row r="10" spans="1:10" x14ac:dyDescent="0.25">
      <c r="A10" s="1">
        <v>43855</v>
      </c>
      <c r="B10" t="s">
        <v>6</v>
      </c>
      <c r="C10" t="s">
        <v>18</v>
      </c>
      <c r="D10" t="s">
        <v>9</v>
      </c>
      <c r="E10" t="s">
        <v>12</v>
      </c>
      <c r="F10">
        <v>100</v>
      </c>
      <c r="G10">
        <v>1.77</v>
      </c>
      <c r="H10">
        <f>Sales_Data[[#This Row],[Quantity]]*Sales_Data[[#This Row],[UnitPrice]]</f>
        <v>177</v>
      </c>
      <c r="I10">
        <v>175.23</v>
      </c>
      <c r="J10" s="2"/>
    </row>
    <row r="11" spans="1:10" x14ac:dyDescent="0.25">
      <c r="A11" s="1">
        <v>43858</v>
      </c>
      <c r="B11" t="s">
        <v>6</v>
      </c>
      <c r="C11" t="s">
        <v>18</v>
      </c>
      <c r="D11" t="s">
        <v>16</v>
      </c>
      <c r="E11" t="s">
        <v>17</v>
      </c>
      <c r="F11">
        <v>28</v>
      </c>
      <c r="G11">
        <v>1.35</v>
      </c>
      <c r="H11">
        <f>Sales_Data[[#This Row],[Quantity]]*Sales_Data[[#This Row],[UnitPrice]]</f>
        <v>37.800000000000004</v>
      </c>
      <c r="I11">
        <v>34.020000000000003</v>
      </c>
      <c r="J11" s="2"/>
    </row>
    <row r="12" spans="1:10" x14ac:dyDescent="0.25">
      <c r="A12" s="1">
        <v>43861</v>
      </c>
      <c r="B12" t="s">
        <v>6</v>
      </c>
      <c r="C12" t="s">
        <v>7</v>
      </c>
      <c r="D12" t="s">
        <v>13</v>
      </c>
      <c r="E12" t="s">
        <v>8</v>
      </c>
      <c r="F12">
        <v>36</v>
      </c>
      <c r="G12">
        <v>2.1800000000000002</v>
      </c>
      <c r="H12">
        <f>Sales_Data[[#This Row],[Quantity]]*Sales_Data[[#This Row],[UnitPrice]]</f>
        <v>78.48</v>
      </c>
      <c r="I12">
        <v>64.3536</v>
      </c>
      <c r="J12" s="2"/>
    </row>
    <row r="13" spans="1:10" x14ac:dyDescent="0.25">
      <c r="A13" s="1">
        <v>43864</v>
      </c>
      <c r="B13" t="s">
        <v>6</v>
      </c>
      <c r="C13" t="s">
        <v>7</v>
      </c>
      <c r="D13" t="s">
        <v>13</v>
      </c>
      <c r="E13" t="s">
        <v>14</v>
      </c>
      <c r="F13">
        <v>31</v>
      </c>
      <c r="G13">
        <v>1.8699999999999999</v>
      </c>
      <c r="H13">
        <f>Sales_Data[[#This Row],[Quantity]]*Sales_Data[[#This Row],[UnitPrice]]</f>
        <v>57.97</v>
      </c>
      <c r="I13">
        <v>48.115099999999998</v>
      </c>
      <c r="J13" s="2"/>
    </row>
    <row r="14" spans="1:10" x14ac:dyDescent="0.25">
      <c r="A14" s="1">
        <v>43867</v>
      </c>
      <c r="B14" t="s">
        <v>6</v>
      </c>
      <c r="C14" t="s">
        <v>7</v>
      </c>
      <c r="D14" t="s">
        <v>22</v>
      </c>
      <c r="E14" t="s">
        <v>23</v>
      </c>
      <c r="F14">
        <v>28</v>
      </c>
      <c r="G14">
        <v>3.4899999999999998</v>
      </c>
      <c r="H14">
        <f>Sales_Data[[#This Row],[Quantity]]*Sales_Data[[#This Row],[UnitPrice]]</f>
        <v>97.72</v>
      </c>
      <c r="I14">
        <v>80.130399999999995</v>
      </c>
      <c r="J14" s="2"/>
    </row>
    <row r="15" spans="1:10" x14ac:dyDescent="0.25">
      <c r="A15" s="1">
        <v>43870</v>
      </c>
      <c r="B15" t="s">
        <v>19</v>
      </c>
      <c r="C15" t="s">
        <v>20</v>
      </c>
      <c r="D15" t="s">
        <v>9</v>
      </c>
      <c r="E15" t="s">
        <v>12</v>
      </c>
      <c r="F15">
        <v>44</v>
      </c>
      <c r="G15">
        <v>1.7699999999999998</v>
      </c>
      <c r="H15">
        <f>Sales_Data[[#This Row],[Quantity]]*Sales_Data[[#This Row],[UnitPrice]]</f>
        <v>77.88</v>
      </c>
      <c r="I15">
        <v>64.6404</v>
      </c>
      <c r="J15" s="2"/>
    </row>
    <row r="16" spans="1:10" x14ac:dyDescent="0.25">
      <c r="A16" s="1">
        <v>43873</v>
      </c>
      <c r="B16" t="s">
        <v>6</v>
      </c>
      <c r="C16" t="s">
        <v>18</v>
      </c>
      <c r="D16" t="s">
        <v>9</v>
      </c>
      <c r="E16" t="s">
        <v>12</v>
      </c>
      <c r="F16">
        <v>23</v>
      </c>
      <c r="G16">
        <v>1.77</v>
      </c>
      <c r="H16">
        <f>Sales_Data[[#This Row],[Quantity]]*Sales_Data[[#This Row],[UnitPrice]]</f>
        <v>40.71</v>
      </c>
      <c r="I16">
        <v>40.302900000000001</v>
      </c>
      <c r="J16" s="2"/>
    </row>
    <row r="17" spans="1:10" x14ac:dyDescent="0.25">
      <c r="A17" s="1">
        <v>43876</v>
      </c>
      <c r="B17" t="s">
        <v>6</v>
      </c>
      <c r="C17" t="s">
        <v>18</v>
      </c>
      <c r="D17" t="s">
        <v>16</v>
      </c>
      <c r="E17" t="s">
        <v>17</v>
      </c>
      <c r="F17">
        <v>27</v>
      </c>
      <c r="G17">
        <v>1.35</v>
      </c>
      <c r="H17">
        <f>Sales_Data[[#This Row],[Quantity]]*Sales_Data[[#This Row],[UnitPrice]]</f>
        <v>36.450000000000003</v>
      </c>
      <c r="I17">
        <v>30.253500000000003</v>
      </c>
      <c r="J17" s="2"/>
    </row>
    <row r="18" spans="1:10" x14ac:dyDescent="0.25">
      <c r="A18" s="1">
        <v>43879</v>
      </c>
      <c r="B18" t="s">
        <v>6</v>
      </c>
      <c r="C18" t="s">
        <v>7</v>
      </c>
      <c r="D18" t="s">
        <v>13</v>
      </c>
      <c r="E18" t="s">
        <v>8</v>
      </c>
      <c r="F18">
        <v>43</v>
      </c>
      <c r="G18">
        <v>2.1799999999999997</v>
      </c>
      <c r="H18">
        <f>Sales_Data[[#This Row],[Quantity]]*Sales_Data[[#This Row],[UnitPrice]]</f>
        <v>93.739999999999981</v>
      </c>
      <c r="I18">
        <v>76.866799999999984</v>
      </c>
      <c r="J18" s="2"/>
    </row>
    <row r="19" spans="1:10" x14ac:dyDescent="0.25">
      <c r="A19" s="1">
        <v>43882</v>
      </c>
      <c r="B19" t="s">
        <v>6</v>
      </c>
      <c r="C19" t="s">
        <v>7</v>
      </c>
      <c r="D19" t="s">
        <v>13</v>
      </c>
      <c r="E19" t="s">
        <v>15</v>
      </c>
      <c r="F19">
        <v>123</v>
      </c>
      <c r="G19">
        <v>2.84</v>
      </c>
      <c r="H19">
        <f>Sales_Data[[#This Row],[Quantity]]*Sales_Data[[#This Row],[UnitPrice]]</f>
        <v>349.32</v>
      </c>
      <c r="I19">
        <v>296.92199999999997</v>
      </c>
      <c r="J19" s="2"/>
    </row>
    <row r="20" spans="1:10" x14ac:dyDescent="0.25">
      <c r="A20" s="1">
        <v>43885</v>
      </c>
      <c r="B20" t="s">
        <v>19</v>
      </c>
      <c r="C20" t="s">
        <v>20</v>
      </c>
      <c r="D20" t="s">
        <v>9</v>
      </c>
      <c r="E20" t="s">
        <v>11</v>
      </c>
      <c r="F20">
        <v>42</v>
      </c>
      <c r="G20">
        <v>1.87</v>
      </c>
      <c r="H20">
        <f>Sales_Data[[#This Row],[Quantity]]*Sales_Data[[#This Row],[UnitPrice]]</f>
        <v>78.540000000000006</v>
      </c>
      <c r="I20">
        <v>71.471400000000003</v>
      </c>
      <c r="J20" s="2"/>
    </row>
    <row r="21" spans="1:10" x14ac:dyDescent="0.25">
      <c r="A21" s="1">
        <v>43888</v>
      </c>
      <c r="B21" t="s">
        <v>19</v>
      </c>
      <c r="C21" t="s">
        <v>20</v>
      </c>
      <c r="D21" t="s">
        <v>13</v>
      </c>
      <c r="E21" t="s">
        <v>15</v>
      </c>
      <c r="F21">
        <v>33</v>
      </c>
      <c r="G21">
        <v>2.84</v>
      </c>
      <c r="H21">
        <f>Sales_Data[[#This Row],[Quantity]]*Sales_Data[[#This Row],[UnitPrice]]</f>
        <v>93.72</v>
      </c>
      <c r="I21">
        <v>77.787599999999998</v>
      </c>
      <c r="J21" s="2"/>
    </row>
    <row r="22" spans="1:10" x14ac:dyDescent="0.25">
      <c r="A22" s="1">
        <v>43892</v>
      </c>
      <c r="B22" t="s">
        <v>6</v>
      </c>
      <c r="C22" t="s">
        <v>18</v>
      </c>
      <c r="D22" t="s">
        <v>13</v>
      </c>
      <c r="E22" t="s">
        <v>14</v>
      </c>
      <c r="F22">
        <v>85</v>
      </c>
      <c r="G22">
        <v>1.8699999999999999</v>
      </c>
      <c r="H22">
        <f>Sales_Data[[#This Row],[Quantity]]*Sales_Data[[#This Row],[UnitPrice]]</f>
        <v>158.94999999999999</v>
      </c>
      <c r="I22">
        <v>139.87599999999998</v>
      </c>
      <c r="J22" s="2"/>
    </row>
    <row r="23" spans="1:10" x14ac:dyDescent="0.25">
      <c r="A23" s="1">
        <v>43895</v>
      </c>
      <c r="B23" t="s">
        <v>19</v>
      </c>
      <c r="C23" t="s">
        <v>21</v>
      </c>
      <c r="D23" t="s">
        <v>13</v>
      </c>
      <c r="E23" t="s">
        <v>15</v>
      </c>
      <c r="F23">
        <v>30</v>
      </c>
      <c r="G23">
        <v>2.8400000000000003</v>
      </c>
      <c r="H23">
        <f>Sales_Data[[#This Row],[Quantity]]*Sales_Data[[#This Row],[UnitPrice]]</f>
        <v>85.2</v>
      </c>
      <c r="I23">
        <v>72.42</v>
      </c>
      <c r="J23" s="2"/>
    </row>
    <row r="24" spans="1:10" x14ac:dyDescent="0.25">
      <c r="A24" s="1">
        <v>43898</v>
      </c>
      <c r="B24" t="s">
        <v>6</v>
      </c>
      <c r="C24" t="s">
        <v>7</v>
      </c>
      <c r="D24" t="s">
        <v>9</v>
      </c>
      <c r="E24" t="s">
        <v>12</v>
      </c>
      <c r="F24">
        <v>61</v>
      </c>
      <c r="G24">
        <v>1.77</v>
      </c>
      <c r="H24">
        <f>Sales_Data[[#This Row],[Quantity]]*Sales_Data[[#This Row],[UnitPrice]]</f>
        <v>107.97</v>
      </c>
      <c r="I24">
        <v>101.4918</v>
      </c>
      <c r="J24" s="2"/>
    </row>
    <row r="25" spans="1:10" x14ac:dyDescent="0.25">
      <c r="A25" s="1">
        <v>43901</v>
      </c>
      <c r="B25" t="s">
        <v>6</v>
      </c>
      <c r="C25" t="s">
        <v>7</v>
      </c>
      <c r="D25" t="s">
        <v>22</v>
      </c>
      <c r="E25" t="s">
        <v>23</v>
      </c>
      <c r="F25">
        <v>40</v>
      </c>
      <c r="G25">
        <v>3.4899999999999998</v>
      </c>
      <c r="H25">
        <f>Sales_Data[[#This Row],[Quantity]]*Sales_Data[[#This Row],[UnitPrice]]</f>
        <v>139.6</v>
      </c>
      <c r="I25">
        <v>132.62</v>
      </c>
      <c r="J25" s="2"/>
    </row>
    <row r="26" spans="1:10" x14ac:dyDescent="0.25">
      <c r="A26" s="1">
        <v>43904</v>
      </c>
      <c r="B26" t="s">
        <v>19</v>
      </c>
      <c r="C26" t="s">
        <v>20</v>
      </c>
      <c r="D26" t="s">
        <v>13</v>
      </c>
      <c r="E26" t="s">
        <v>14</v>
      </c>
      <c r="F26">
        <v>86</v>
      </c>
      <c r="G26">
        <v>1.8699999999999999</v>
      </c>
      <c r="H26">
        <f>Sales_Data[[#This Row],[Quantity]]*Sales_Data[[#This Row],[UnitPrice]]</f>
        <v>160.82</v>
      </c>
      <c r="I26">
        <v>157.6036</v>
      </c>
      <c r="J26" s="2"/>
    </row>
    <row r="27" spans="1:10" x14ac:dyDescent="0.25">
      <c r="A27" s="1">
        <v>43907</v>
      </c>
      <c r="B27" t="s">
        <v>6</v>
      </c>
      <c r="C27" t="s">
        <v>18</v>
      </c>
      <c r="D27" t="s">
        <v>9</v>
      </c>
      <c r="E27" t="s">
        <v>12</v>
      </c>
      <c r="F27">
        <v>38</v>
      </c>
      <c r="G27">
        <v>1.7700000000000002</v>
      </c>
      <c r="H27">
        <f>Sales_Data[[#This Row],[Quantity]]*Sales_Data[[#This Row],[UnitPrice]]</f>
        <v>67.260000000000005</v>
      </c>
      <c r="I27">
        <v>63.224400000000003</v>
      </c>
      <c r="J27" s="2"/>
    </row>
    <row r="28" spans="1:10" x14ac:dyDescent="0.25">
      <c r="A28" s="1">
        <v>43910</v>
      </c>
      <c r="B28" t="s">
        <v>6</v>
      </c>
      <c r="C28" t="s">
        <v>18</v>
      </c>
      <c r="D28" t="s">
        <v>16</v>
      </c>
      <c r="E28" t="s">
        <v>17</v>
      </c>
      <c r="F28">
        <v>68</v>
      </c>
      <c r="G28">
        <v>1.68</v>
      </c>
      <c r="H28">
        <f>Sales_Data[[#This Row],[Quantity]]*Sales_Data[[#This Row],[UnitPrice]]</f>
        <v>114.24</v>
      </c>
      <c r="I28">
        <v>98.246399999999994</v>
      </c>
      <c r="J28" s="2"/>
    </row>
    <row r="29" spans="1:10" x14ac:dyDescent="0.25">
      <c r="A29" s="1">
        <v>43913</v>
      </c>
      <c r="B29" t="s">
        <v>19</v>
      </c>
      <c r="C29" t="s">
        <v>21</v>
      </c>
      <c r="D29" t="s">
        <v>13</v>
      </c>
      <c r="E29" t="s">
        <v>14</v>
      </c>
      <c r="F29">
        <v>39</v>
      </c>
      <c r="G29">
        <v>1.87</v>
      </c>
      <c r="H29">
        <f>Sales_Data[[#This Row],[Quantity]]*Sales_Data[[#This Row],[UnitPrice]]</f>
        <v>72.930000000000007</v>
      </c>
      <c r="I29">
        <v>67.824900000000014</v>
      </c>
      <c r="J29" s="2"/>
    </row>
    <row r="30" spans="1:10" x14ac:dyDescent="0.25">
      <c r="A30" s="1">
        <v>43916</v>
      </c>
      <c r="B30" t="s">
        <v>6</v>
      </c>
      <c r="C30" t="s">
        <v>7</v>
      </c>
      <c r="D30" t="s">
        <v>9</v>
      </c>
      <c r="E30" t="s">
        <v>11</v>
      </c>
      <c r="F30">
        <v>103</v>
      </c>
      <c r="G30">
        <v>1.87</v>
      </c>
      <c r="H30">
        <f>Sales_Data[[#This Row],[Quantity]]*Sales_Data[[#This Row],[UnitPrice]]</f>
        <v>192.61</v>
      </c>
      <c r="I30">
        <v>157.9402</v>
      </c>
      <c r="J30" s="2"/>
    </row>
    <row r="31" spans="1:10" x14ac:dyDescent="0.25">
      <c r="A31" s="1">
        <v>43919</v>
      </c>
      <c r="B31" t="s">
        <v>6</v>
      </c>
      <c r="C31" t="s">
        <v>7</v>
      </c>
      <c r="D31" t="s">
        <v>13</v>
      </c>
      <c r="E31" t="s">
        <v>15</v>
      </c>
      <c r="F31">
        <v>193</v>
      </c>
      <c r="G31">
        <v>2.84</v>
      </c>
      <c r="H31">
        <f>Sales_Data[[#This Row],[Quantity]]*Sales_Data[[#This Row],[UnitPrice]]</f>
        <v>548.12</v>
      </c>
      <c r="I31">
        <v>487.82679999999999</v>
      </c>
      <c r="J31" s="2"/>
    </row>
    <row r="32" spans="1:10" x14ac:dyDescent="0.25">
      <c r="A32" s="1">
        <v>43922</v>
      </c>
      <c r="B32" t="s">
        <v>19</v>
      </c>
      <c r="C32" t="s">
        <v>20</v>
      </c>
      <c r="D32" t="s">
        <v>9</v>
      </c>
      <c r="E32" t="s">
        <v>12</v>
      </c>
      <c r="F32">
        <v>58</v>
      </c>
      <c r="G32">
        <v>1.77</v>
      </c>
      <c r="H32">
        <f>Sales_Data[[#This Row],[Quantity]]*Sales_Data[[#This Row],[UnitPrice]]</f>
        <v>102.66</v>
      </c>
      <c r="I32">
        <v>100.60679999999999</v>
      </c>
      <c r="J32" s="2"/>
    </row>
    <row r="33" spans="1:10" x14ac:dyDescent="0.25">
      <c r="A33" s="1">
        <v>43925</v>
      </c>
      <c r="B33" t="s">
        <v>19</v>
      </c>
      <c r="C33" t="s">
        <v>20</v>
      </c>
      <c r="D33" t="s">
        <v>16</v>
      </c>
      <c r="E33" t="s">
        <v>17</v>
      </c>
      <c r="F33">
        <v>68</v>
      </c>
      <c r="G33">
        <v>1.68</v>
      </c>
      <c r="H33">
        <f>Sales_Data[[#This Row],[Quantity]]*Sales_Data[[#This Row],[UnitPrice]]</f>
        <v>114.24</v>
      </c>
      <c r="I33">
        <v>105.10079999999999</v>
      </c>
      <c r="J33" s="2"/>
    </row>
    <row r="34" spans="1:10" x14ac:dyDescent="0.25">
      <c r="A34" s="1">
        <v>43928</v>
      </c>
      <c r="B34" t="s">
        <v>6</v>
      </c>
      <c r="C34" t="s">
        <v>18</v>
      </c>
      <c r="D34" t="s">
        <v>9</v>
      </c>
      <c r="E34" t="s">
        <v>12</v>
      </c>
      <c r="F34">
        <v>91</v>
      </c>
      <c r="G34">
        <v>1.77</v>
      </c>
      <c r="H34">
        <f>Sales_Data[[#This Row],[Quantity]]*Sales_Data[[#This Row],[UnitPrice]]</f>
        <v>161.07</v>
      </c>
      <c r="I34">
        <v>153.01650000000001</v>
      </c>
      <c r="J34" s="2"/>
    </row>
    <row r="35" spans="1:10" x14ac:dyDescent="0.25">
      <c r="A35" s="1">
        <v>43931</v>
      </c>
      <c r="B35" t="s">
        <v>6</v>
      </c>
      <c r="C35" t="s">
        <v>18</v>
      </c>
      <c r="D35" t="s">
        <v>22</v>
      </c>
      <c r="E35" t="s">
        <v>23</v>
      </c>
      <c r="F35">
        <v>23</v>
      </c>
      <c r="G35">
        <v>3.4899999999999998</v>
      </c>
      <c r="H35">
        <f>Sales_Data[[#This Row],[Quantity]]*Sales_Data[[#This Row],[UnitPrice]]</f>
        <v>80.27</v>
      </c>
      <c r="I35">
        <v>78.664599999999993</v>
      </c>
      <c r="J35" s="2"/>
    </row>
    <row r="36" spans="1:10" x14ac:dyDescent="0.25">
      <c r="A36" s="1">
        <v>43934</v>
      </c>
      <c r="B36" t="s">
        <v>19</v>
      </c>
      <c r="C36" t="s">
        <v>21</v>
      </c>
      <c r="D36" t="s">
        <v>16</v>
      </c>
      <c r="E36" t="s">
        <v>17</v>
      </c>
      <c r="F36">
        <v>28</v>
      </c>
      <c r="G36">
        <v>1.68</v>
      </c>
      <c r="H36">
        <f>Sales_Data[[#This Row],[Quantity]]*Sales_Data[[#This Row],[UnitPrice]]</f>
        <v>47.04</v>
      </c>
      <c r="I36">
        <v>46.569600000000001</v>
      </c>
      <c r="J36" s="2"/>
    </row>
    <row r="37" spans="1:10" x14ac:dyDescent="0.25">
      <c r="A37" s="1">
        <v>43937</v>
      </c>
      <c r="B37" t="s">
        <v>6</v>
      </c>
      <c r="C37" t="s">
        <v>7</v>
      </c>
      <c r="D37" t="s">
        <v>9</v>
      </c>
      <c r="E37" t="s">
        <v>12</v>
      </c>
      <c r="F37">
        <v>48</v>
      </c>
      <c r="G37">
        <v>1.7699999999999998</v>
      </c>
      <c r="H37">
        <f>Sales_Data[[#This Row],[Quantity]]*Sales_Data[[#This Row],[UnitPrice]]</f>
        <v>84.96</v>
      </c>
      <c r="I37">
        <v>79.012799999999999</v>
      </c>
      <c r="J37" s="2"/>
    </row>
    <row r="38" spans="1:10" x14ac:dyDescent="0.25">
      <c r="A38" s="1">
        <v>43940</v>
      </c>
      <c r="B38" t="s">
        <v>6</v>
      </c>
      <c r="C38" t="s">
        <v>7</v>
      </c>
      <c r="D38" t="s">
        <v>16</v>
      </c>
      <c r="E38" t="s">
        <v>17</v>
      </c>
      <c r="F38">
        <v>134</v>
      </c>
      <c r="G38">
        <v>1.68</v>
      </c>
      <c r="H38">
        <f>Sales_Data[[#This Row],[Quantity]]*Sales_Data[[#This Row],[UnitPrice]]</f>
        <v>225.12</v>
      </c>
      <c r="I38">
        <v>218.3664</v>
      </c>
      <c r="J38" s="2"/>
    </row>
    <row r="39" spans="1:10" x14ac:dyDescent="0.25">
      <c r="A39" s="1">
        <v>43943</v>
      </c>
      <c r="B39" t="s">
        <v>19</v>
      </c>
      <c r="C39" t="s">
        <v>20</v>
      </c>
      <c r="D39" t="s">
        <v>9</v>
      </c>
      <c r="E39" t="s">
        <v>12</v>
      </c>
      <c r="F39">
        <v>20</v>
      </c>
      <c r="G39">
        <v>1.77</v>
      </c>
      <c r="H39">
        <f>Sales_Data[[#This Row],[Quantity]]*Sales_Data[[#This Row],[UnitPrice]]</f>
        <v>35.4</v>
      </c>
      <c r="I39">
        <v>32.567999999999998</v>
      </c>
      <c r="J39" s="2"/>
    </row>
    <row r="40" spans="1:10" x14ac:dyDescent="0.25">
      <c r="A40" s="1">
        <v>43946</v>
      </c>
      <c r="B40" t="s">
        <v>6</v>
      </c>
      <c r="C40" t="s">
        <v>18</v>
      </c>
      <c r="D40" t="s">
        <v>9</v>
      </c>
      <c r="E40" t="s">
        <v>12</v>
      </c>
      <c r="F40">
        <v>53</v>
      </c>
      <c r="G40">
        <v>1.77</v>
      </c>
      <c r="H40">
        <f>Sales_Data[[#This Row],[Quantity]]*Sales_Data[[#This Row],[UnitPrice]]</f>
        <v>93.81</v>
      </c>
      <c r="I40">
        <v>79.738500000000002</v>
      </c>
      <c r="J40" s="2"/>
    </row>
    <row r="41" spans="1:10" x14ac:dyDescent="0.25">
      <c r="A41" s="1">
        <v>43949</v>
      </c>
      <c r="B41" t="s">
        <v>6</v>
      </c>
      <c r="C41" t="s">
        <v>18</v>
      </c>
      <c r="D41" t="s">
        <v>16</v>
      </c>
      <c r="E41" t="s">
        <v>17</v>
      </c>
      <c r="F41">
        <v>64</v>
      </c>
      <c r="G41">
        <v>1.68</v>
      </c>
      <c r="H41">
        <f>Sales_Data[[#This Row],[Quantity]]*Sales_Data[[#This Row],[UnitPrice]]</f>
        <v>107.52</v>
      </c>
      <c r="I41">
        <v>104.2944</v>
      </c>
      <c r="J41" s="2"/>
    </row>
    <row r="42" spans="1:10" x14ac:dyDescent="0.25">
      <c r="A42" s="1">
        <v>43952</v>
      </c>
      <c r="B42" t="s">
        <v>19</v>
      </c>
      <c r="C42" t="s">
        <v>21</v>
      </c>
      <c r="D42" t="s">
        <v>13</v>
      </c>
      <c r="E42" t="s">
        <v>14</v>
      </c>
      <c r="F42">
        <v>63</v>
      </c>
      <c r="G42">
        <v>1.87</v>
      </c>
      <c r="H42">
        <f>Sales_Data[[#This Row],[Quantity]]*Sales_Data[[#This Row],[UnitPrice]]</f>
        <v>117.81</v>
      </c>
      <c r="I42">
        <v>107.2071</v>
      </c>
      <c r="J42" s="2"/>
    </row>
    <row r="43" spans="1:10" x14ac:dyDescent="0.25">
      <c r="A43" s="1">
        <v>43955</v>
      </c>
      <c r="B43" t="s">
        <v>6</v>
      </c>
      <c r="C43" t="s">
        <v>7</v>
      </c>
      <c r="D43" t="s">
        <v>9</v>
      </c>
      <c r="E43" t="s">
        <v>11</v>
      </c>
      <c r="F43">
        <v>105</v>
      </c>
      <c r="G43">
        <v>1.8699999999999999</v>
      </c>
      <c r="H43">
        <f>Sales_Data[[#This Row],[Quantity]]*Sales_Data[[#This Row],[UnitPrice]]</f>
        <v>196.35</v>
      </c>
      <c r="I43">
        <v>172.78800000000001</v>
      </c>
      <c r="J43" s="2"/>
    </row>
    <row r="44" spans="1:10" x14ac:dyDescent="0.25">
      <c r="A44" s="1">
        <v>43958</v>
      </c>
      <c r="B44" t="s">
        <v>6</v>
      </c>
      <c r="C44" t="s">
        <v>7</v>
      </c>
      <c r="D44" t="s">
        <v>13</v>
      </c>
      <c r="E44" t="s">
        <v>15</v>
      </c>
      <c r="F44">
        <v>138</v>
      </c>
      <c r="G44">
        <v>2.8400000000000003</v>
      </c>
      <c r="H44">
        <f>Sales_Data[[#This Row],[Quantity]]*Sales_Data[[#This Row],[UnitPrice]]</f>
        <v>391.92</v>
      </c>
      <c r="I44">
        <v>364.48560000000003</v>
      </c>
      <c r="J44" s="2"/>
    </row>
    <row r="45" spans="1:10" x14ac:dyDescent="0.25">
      <c r="A45" s="1">
        <v>43961</v>
      </c>
      <c r="B45" t="s">
        <v>19</v>
      </c>
      <c r="C45" t="s">
        <v>20</v>
      </c>
      <c r="D45" t="s">
        <v>9</v>
      </c>
      <c r="E45" t="s">
        <v>12</v>
      </c>
      <c r="F45">
        <v>25</v>
      </c>
      <c r="G45">
        <v>1.77</v>
      </c>
      <c r="H45">
        <f>Sales_Data[[#This Row],[Quantity]]*Sales_Data[[#This Row],[UnitPrice]]</f>
        <v>44.25</v>
      </c>
      <c r="I45">
        <v>41.152500000000003</v>
      </c>
      <c r="J45" s="2"/>
    </row>
    <row r="46" spans="1:10" x14ac:dyDescent="0.25">
      <c r="A46" s="1">
        <v>43964</v>
      </c>
      <c r="B46" t="s">
        <v>19</v>
      </c>
      <c r="C46" t="s">
        <v>20</v>
      </c>
      <c r="D46" t="s">
        <v>22</v>
      </c>
      <c r="E46" t="s">
        <v>23</v>
      </c>
      <c r="F46">
        <v>21</v>
      </c>
      <c r="G46">
        <v>3.49</v>
      </c>
      <c r="H46">
        <f>Sales_Data[[#This Row],[Quantity]]*Sales_Data[[#This Row],[UnitPrice]]</f>
        <v>73.290000000000006</v>
      </c>
      <c r="I46">
        <v>64.495200000000011</v>
      </c>
      <c r="J46" s="2"/>
    </row>
    <row r="47" spans="1:10" x14ac:dyDescent="0.25">
      <c r="A47" s="1">
        <v>43967</v>
      </c>
      <c r="B47" t="s">
        <v>6</v>
      </c>
      <c r="C47" t="s">
        <v>18</v>
      </c>
      <c r="D47" t="s">
        <v>9</v>
      </c>
      <c r="E47" t="s">
        <v>12</v>
      </c>
      <c r="F47">
        <v>61</v>
      </c>
      <c r="G47">
        <v>1.77</v>
      </c>
      <c r="H47">
        <f>Sales_Data[[#This Row],[Quantity]]*Sales_Data[[#This Row],[UnitPrice]]</f>
        <v>107.97</v>
      </c>
      <c r="I47">
        <v>100.4121</v>
      </c>
      <c r="J47" s="2"/>
    </row>
    <row r="48" spans="1:10" x14ac:dyDescent="0.25">
      <c r="A48" s="1">
        <v>43970</v>
      </c>
      <c r="B48" t="s">
        <v>6</v>
      </c>
      <c r="C48" t="s">
        <v>18</v>
      </c>
      <c r="D48" t="s">
        <v>16</v>
      </c>
      <c r="E48" t="s">
        <v>17</v>
      </c>
      <c r="F48">
        <v>49</v>
      </c>
      <c r="G48">
        <v>1.68</v>
      </c>
      <c r="H48">
        <f>Sales_Data[[#This Row],[Quantity]]*Sales_Data[[#This Row],[UnitPrice]]</f>
        <v>82.32</v>
      </c>
      <c r="I48">
        <v>78.203999999999994</v>
      </c>
      <c r="J48" s="2"/>
    </row>
    <row r="49" spans="1:10" x14ac:dyDescent="0.25">
      <c r="A49" s="1">
        <v>43973</v>
      </c>
      <c r="B49" t="s">
        <v>19</v>
      </c>
      <c r="C49" t="s">
        <v>21</v>
      </c>
      <c r="D49" t="s">
        <v>13</v>
      </c>
      <c r="E49" t="s">
        <v>14</v>
      </c>
      <c r="F49">
        <v>55</v>
      </c>
      <c r="G49">
        <v>1.8699999999999999</v>
      </c>
      <c r="H49">
        <f>Sales_Data[[#This Row],[Quantity]]*Sales_Data[[#This Row],[UnitPrice]]</f>
        <v>102.85</v>
      </c>
      <c r="I49">
        <v>88.450999999999993</v>
      </c>
      <c r="J49" s="2"/>
    </row>
    <row r="50" spans="1:10" x14ac:dyDescent="0.25">
      <c r="A50" s="1">
        <v>43976</v>
      </c>
      <c r="B50" t="s">
        <v>6</v>
      </c>
      <c r="C50" t="s">
        <v>7</v>
      </c>
      <c r="D50" t="s">
        <v>13</v>
      </c>
      <c r="E50" t="s">
        <v>8</v>
      </c>
      <c r="F50">
        <v>27</v>
      </c>
      <c r="G50">
        <v>2.1800000000000002</v>
      </c>
      <c r="H50">
        <f>Sales_Data[[#This Row],[Quantity]]*Sales_Data[[#This Row],[UnitPrice]]</f>
        <v>58.860000000000007</v>
      </c>
      <c r="I50">
        <v>50.031000000000006</v>
      </c>
      <c r="J50" s="2"/>
    </row>
    <row r="51" spans="1:10" x14ac:dyDescent="0.25">
      <c r="A51" s="1">
        <v>43979</v>
      </c>
      <c r="B51" t="s">
        <v>6</v>
      </c>
      <c r="C51" t="s">
        <v>7</v>
      </c>
      <c r="D51" t="s">
        <v>9</v>
      </c>
      <c r="E51" t="s">
        <v>12</v>
      </c>
      <c r="F51">
        <v>58</v>
      </c>
      <c r="G51">
        <v>1.77</v>
      </c>
      <c r="H51">
        <f>Sales_Data[[#This Row],[Quantity]]*Sales_Data[[#This Row],[UnitPrice]]</f>
        <v>102.66</v>
      </c>
      <c r="I51">
        <v>90.340800000000002</v>
      </c>
      <c r="J51" s="2"/>
    </row>
    <row r="52" spans="1:10" x14ac:dyDescent="0.25">
      <c r="A52" s="1">
        <v>43982</v>
      </c>
      <c r="B52" t="s">
        <v>6</v>
      </c>
      <c r="C52" t="s">
        <v>7</v>
      </c>
      <c r="D52" t="s">
        <v>22</v>
      </c>
      <c r="E52" t="s">
        <v>23</v>
      </c>
      <c r="F52">
        <v>33</v>
      </c>
      <c r="G52">
        <v>3.49</v>
      </c>
      <c r="H52">
        <f>Sales_Data[[#This Row],[Quantity]]*Sales_Data[[#This Row],[UnitPrice]]</f>
        <v>115.17</v>
      </c>
      <c r="I52">
        <v>105.9564</v>
      </c>
      <c r="J52" s="2"/>
    </row>
    <row r="53" spans="1:10" x14ac:dyDescent="0.25">
      <c r="A53" s="1">
        <v>43985</v>
      </c>
      <c r="B53" t="s">
        <v>19</v>
      </c>
      <c r="C53" t="s">
        <v>20</v>
      </c>
      <c r="D53" t="s">
        <v>13</v>
      </c>
      <c r="E53" t="s">
        <v>15</v>
      </c>
      <c r="F53">
        <v>288</v>
      </c>
      <c r="G53">
        <v>2.84</v>
      </c>
      <c r="H53">
        <f>Sales_Data[[#This Row],[Quantity]]*Sales_Data[[#This Row],[UnitPrice]]</f>
        <v>817.92</v>
      </c>
      <c r="I53">
        <v>785.20319999999992</v>
      </c>
      <c r="J53" s="2"/>
    </row>
    <row r="54" spans="1:10" x14ac:dyDescent="0.25">
      <c r="A54" s="1">
        <v>43988</v>
      </c>
      <c r="B54" t="s">
        <v>6</v>
      </c>
      <c r="C54" t="s">
        <v>18</v>
      </c>
      <c r="D54" t="s">
        <v>13</v>
      </c>
      <c r="E54" t="s">
        <v>14</v>
      </c>
      <c r="F54">
        <v>76</v>
      </c>
      <c r="G54">
        <v>1.87</v>
      </c>
      <c r="H54">
        <f>Sales_Data[[#This Row],[Quantity]]*Sales_Data[[#This Row],[UnitPrice]]</f>
        <v>142.12</v>
      </c>
      <c r="I54">
        <v>117.95960000000001</v>
      </c>
      <c r="J54" s="2"/>
    </row>
    <row r="55" spans="1:10" x14ac:dyDescent="0.25">
      <c r="A55" s="1">
        <v>43991</v>
      </c>
      <c r="B55" t="s">
        <v>19</v>
      </c>
      <c r="C55" t="s">
        <v>21</v>
      </c>
      <c r="D55" t="s">
        <v>9</v>
      </c>
      <c r="E55" t="s">
        <v>12</v>
      </c>
      <c r="F55">
        <v>42</v>
      </c>
      <c r="G55">
        <v>1.77</v>
      </c>
      <c r="H55">
        <f>Sales_Data[[#This Row],[Quantity]]*Sales_Data[[#This Row],[UnitPrice]]</f>
        <v>74.34</v>
      </c>
      <c r="I55">
        <v>66.906000000000006</v>
      </c>
      <c r="J55" s="2"/>
    </row>
    <row r="56" spans="1:10" x14ac:dyDescent="0.25">
      <c r="A56" s="1">
        <v>43994</v>
      </c>
      <c r="B56" t="s">
        <v>19</v>
      </c>
      <c r="C56" t="s">
        <v>21</v>
      </c>
      <c r="D56" t="s">
        <v>22</v>
      </c>
      <c r="E56" t="s">
        <v>23</v>
      </c>
      <c r="F56">
        <v>20</v>
      </c>
      <c r="G56">
        <v>3.4899999999999998</v>
      </c>
      <c r="H56">
        <f>Sales_Data[[#This Row],[Quantity]]*Sales_Data[[#This Row],[UnitPrice]]</f>
        <v>69.8</v>
      </c>
      <c r="I56">
        <v>68.403999999999996</v>
      </c>
      <c r="J56" s="2"/>
    </row>
    <row r="57" spans="1:10" x14ac:dyDescent="0.25">
      <c r="A57" s="1">
        <v>43997</v>
      </c>
      <c r="B57" t="s">
        <v>6</v>
      </c>
      <c r="C57" t="s">
        <v>7</v>
      </c>
      <c r="D57" t="s">
        <v>9</v>
      </c>
      <c r="E57" t="s">
        <v>12</v>
      </c>
      <c r="F57">
        <v>75</v>
      </c>
      <c r="G57">
        <v>1.77</v>
      </c>
      <c r="H57">
        <f>Sales_Data[[#This Row],[Quantity]]*Sales_Data[[#This Row],[UnitPrice]]</f>
        <v>132.75</v>
      </c>
      <c r="I57">
        <v>114.16499999999999</v>
      </c>
      <c r="J57" s="2"/>
    </row>
    <row r="58" spans="1:10" x14ac:dyDescent="0.25">
      <c r="A58" s="1">
        <v>44000</v>
      </c>
      <c r="B58" t="s">
        <v>6</v>
      </c>
      <c r="C58" t="s">
        <v>7</v>
      </c>
      <c r="D58" t="s">
        <v>22</v>
      </c>
      <c r="E58" t="s">
        <v>23</v>
      </c>
      <c r="F58">
        <v>38</v>
      </c>
      <c r="G58">
        <v>3.49</v>
      </c>
      <c r="H58">
        <f>Sales_Data[[#This Row],[Quantity]]*Sales_Data[[#This Row],[UnitPrice]]</f>
        <v>132.62</v>
      </c>
      <c r="I58">
        <v>123.3366</v>
      </c>
      <c r="J58" s="2"/>
    </row>
    <row r="59" spans="1:10" x14ac:dyDescent="0.25">
      <c r="A59" s="1">
        <v>44003</v>
      </c>
      <c r="B59" t="s">
        <v>19</v>
      </c>
      <c r="C59" t="s">
        <v>20</v>
      </c>
      <c r="D59" t="s">
        <v>9</v>
      </c>
      <c r="E59" t="s">
        <v>12</v>
      </c>
      <c r="F59">
        <v>306</v>
      </c>
      <c r="G59">
        <v>1.77</v>
      </c>
      <c r="H59">
        <f>Sales_Data[[#This Row],[Quantity]]*Sales_Data[[#This Row],[UnitPrice]]</f>
        <v>541.62</v>
      </c>
      <c r="I59">
        <v>514.53899999999999</v>
      </c>
      <c r="J59" s="2"/>
    </row>
    <row r="60" spans="1:10" x14ac:dyDescent="0.25">
      <c r="A60" s="1">
        <v>44006</v>
      </c>
      <c r="B60" t="s">
        <v>19</v>
      </c>
      <c r="C60" t="s">
        <v>20</v>
      </c>
      <c r="D60" t="s">
        <v>16</v>
      </c>
      <c r="E60" t="s">
        <v>17</v>
      </c>
      <c r="F60">
        <v>28</v>
      </c>
      <c r="G60">
        <v>1.68</v>
      </c>
      <c r="H60">
        <f>Sales_Data[[#This Row],[Quantity]]*Sales_Data[[#This Row],[UnitPrice]]</f>
        <v>47.04</v>
      </c>
      <c r="I60">
        <v>41.395200000000003</v>
      </c>
      <c r="J60" s="2"/>
    </row>
    <row r="61" spans="1:10" x14ac:dyDescent="0.25">
      <c r="A61" s="1">
        <v>44009</v>
      </c>
      <c r="B61" t="s">
        <v>6</v>
      </c>
      <c r="C61" t="s">
        <v>18</v>
      </c>
      <c r="D61" t="s">
        <v>9</v>
      </c>
      <c r="E61" t="s">
        <v>11</v>
      </c>
      <c r="F61">
        <v>110</v>
      </c>
      <c r="G61">
        <v>1.8699999999999999</v>
      </c>
      <c r="H61">
        <f>Sales_Data[[#This Row],[Quantity]]*Sales_Data[[#This Row],[UnitPrice]]</f>
        <v>205.7</v>
      </c>
      <c r="I61">
        <v>176.90199999999999</v>
      </c>
      <c r="J61" s="2"/>
    </row>
    <row r="62" spans="1:10" x14ac:dyDescent="0.25">
      <c r="A62" s="1">
        <v>44012</v>
      </c>
      <c r="B62" t="s">
        <v>6</v>
      </c>
      <c r="C62" t="s">
        <v>18</v>
      </c>
      <c r="D62" t="s">
        <v>13</v>
      </c>
      <c r="E62" t="s">
        <v>15</v>
      </c>
      <c r="F62">
        <v>51</v>
      </c>
      <c r="G62">
        <v>2.84</v>
      </c>
      <c r="H62">
        <f>Sales_Data[[#This Row],[Quantity]]*Sales_Data[[#This Row],[UnitPrice]]</f>
        <v>144.84</v>
      </c>
      <c r="I62">
        <v>143.39160000000001</v>
      </c>
      <c r="J62" s="2"/>
    </row>
    <row r="63" spans="1:10" x14ac:dyDescent="0.25">
      <c r="A63" s="1">
        <v>44015</v>
      </c>
      <c r="B63" t="s">
        <v>19</v>
      </c>
      <c r="C63" t="s">
        <v>21</v>
      </c>
      <c r="D63" t="s">
        <v>9</v>
      </c>
      <c r="E63" t="s">
        <v>12</v>
      </c>
      <c r="F63">
        <v>52</v>
      </c>
      <c r="G63">
        <v>1.77</v>
      </c>
      <c r="H63">
        <f>Sales_Data[[#This Row],[Quantity]]*Sales_Data[[#This Row],[UnitPrice]]</f>
        <v>92.04</v>
      </c>
      <c r="I63">
        <v>83.756400000000014</v>
      </c>
      <c r="J63" s="2"/>
    </row>
    <row r="64" spans="1:10" x14ac:dyDescent="0.25">
      <c r="A64" s="1">
        <v>44018</v>
      </c>
      <c r="B64" t="s">
        <v>19</v>
      </c>
      <c r="C64" t="s">
        <v>21</v>
      </c>
      <c r="D64" t="s">
        <v>22</v>
      </c>
      <c r="E64" t="s">
        <v>23</v>
      </c>
      <c r="F64">
        <v>28</v>
      </c>
      <c r="G64">
        <v>3.4899999999999998</v>
      </c>
      <c r="H64">
        <f>Sales_Data[[#This Row],[Quantity]]*Sales_Data[[#This Row],[UnitPrice]]</f>
        <v>97.72</v>
      </c>
      <c r="I64">
        <v>95.765599999999992</v>
      </c>
      <c r="J64" s="2"/>
    </row>
    <row r="65" spans="1:10" x14ac:dyDescent="0.25">
      <c r="A65" s="1">
        <v>44021</v>
      </c>
      <c r="B65" t="s">
        <v>6</v>
      </c>
      <c r="C65" t="s">
        <v>7</v>
      </c>
      <c r="D65" t="s">
        <v>9</v>
      </c>
      <c r="E65" t="s">
        <v>12</v>
      </c>
      <c r="F65">
        <v>136</v>
      </c>
      <c r="G65">
        <v>1.77</v>
      </c>
      <c r="H65">
        <f>Sales_Data[[#This Row],[Quantity]]*Sales_Data[[#This Row],[UnitPrice]]</f>
        <v>240.72</v>
      </c>
      <c r="I65">
        <v>221.4624</v>
      </c>
      <c r="J65" s="2"/>
    </row>
    <row r="66" spans="1:10" x14ac:dyDescent="0.25">
      <c r="A66" s="1">
        <v>44024</v>
      </c>
      <c r="B66" t="s">
        <v>6</v>
      </c>
      <c r="C66" t="s">
        <v>7</v>
      </c>
      <c r="D66" t="s">
        <v>22</v>
      </c>
      <c r="E66" t="s">
        <v>23</v>
      </c>
      <c r="F66">
        <v>42</v>
      </c>
      <c r="G66">
        <v>3.49</v>
      </c>
      <c r="H66">
        <f>Sales_Data[[#This Row],[Quantity]]*Sales_Data[[#This Row],[UnitPrice]]</f>
        <v>146.58000000000001</v>
      </c>
      <c r="I66">
        <v>137.7852</v>
      </c>
      <c r="J66" s="2"/>
    </row>
    <row r="67" spans="1:10" x14ac:dyDescent="0.25">
      <c r="A67" s="1">
        <v>44027</v>
      </c>
      <c r="B67" t="s">
        <v>19</v>
      </c>
      <c r="C67" t="s">
        <v>20</v>
      </c>
      <c r="D67" t="s">
        <v>13</v>
      </c>
      <c r="E67" t="s">
        <v>14</v>
      </c>
      <c r="F67">
        <v>75</v>
      </c>
      <c r="G67">
        <v>1.87</v>
      </c>
      <c r="H67">
        <f>Sales_Data[[#This Row],[Quantity]]*Sales_Data[[#This Row],[UnitPrice]]</f>
        <v>140.25</v>
      </c>
      <c r="I67">
        <v>119.21250000000001</v>
      </c>
      <c r="J67" s="2"/>
    </row>
    <row r="68" spans="1:10" x14ac:dyDescent="0.25">
      <c r="A68" s="1">
        <v>44030</v>
      </c>
      <c r="B68" t="s">
        <v>6</v>
      </c>
      <c r="C68" t="s">
        <v>18</v>
      </c>
      <c r="D68" t="s">
        <v>9</v>
      </c>
      <c r="E68" t="s">
        <v>11</v>
      </c>
      <c r="F68">
        <v>72</v>
      </c>
      <c r="G68">
        <v>1.8699999999999999</v>
      </c>
      <c r="H68">
        <f>Sales_Data[[#This Row],[Quantity]]*Sales_Data[[#This Row],[UnitPrice]]</f>
        <v>134.63999999999999</v>
      </c>
      <c r="I68">
        <v>115.79039999999999</v>
      </c>
      <c r="J68" s="2"/>
    </row>
    <row r="69" spans="1:10" x14ac:dyDescent="0.25">
      <c r="A69" s="1">
        <v>44033</v>
      </c>
      <c r="B69" t="s">
        <v>6</v>
      </c>
      <c r="C69" t="s">
        <v>18</v>
      </c>
      <c r="D69" t="s">
        <v>13</v>
      </c>
      <c r="E69" t="s">
        <v>15</v>
      </c>
      <c r="F69">
        <v>56</v>
      </c>
      <c r="G69">
        <v>2.84</v>
      </c>
      <c r="H69">
        <f>Sales_Data[[#This Row],[Quantity]]*Sales_Data[[#This Row],[UnitPrice]]</f>
        <v>159.04</v>
      </c>
      <c r="I69">
        <v>147.90719999999999</v>
      </c>
      <c r="J69" s="2"/>
    </row>
    <row r="70" spans="1:10" x14ac:dyDescent="0.25">
      <c r="A70" s="1">
        <v>44036</v>
      </c>
      <c r="B70" t="s">
        <v>19</v>
      </c>
      <c r="C70" t="s">
        <v>21</v>
      </c>
      <c r="D70" t="s">
        <v>9</v>
      </c>
      <c r="E70" t="s">
        <v>11</v>
      </c>
      <c r="F70">
        <v>51</v>
      </c>
      <c r="G70">
        <v>1.87</v>
      </c>
      <c r="H70">
        <f>Sales_Data[[#This Row],[Quantity]]*Sales_Data[[#This Row],[UnitPrice]]</f>
        <v>95.37</v>
      </c>
      <c r="I70">
        <v>87.740400000000008</v>
      </c>
      <c r="J70" s="2"/>
    </row>
    <row r="71" spans="1:10" x14ac:dyDescent="0.25">
      <c r="A71" s="1">
        <v>44039</v>
      </c>
      <c r="B71" t="s">
        <v>19</v>
      </c>
      <c r="C71" t="s">
        <v>21</v>
      </c>
      <c r="D71" t="s">
        <v>16</v>
      </c>
      <c r="E71" t="s">
        <v>17</v>
      </c>
      <c r="F71">
        <v>31</v>
      </c>
      <c r="G71">
        <v>1.68</v>
      </c>
      <c r="H71">
        <f>Sales_Data[[#This Row],[Quantity]]*Sales_Data[[#This Row],[UnitPrice]]</f>
        <v>52.08</v>
      </c>
      <c r="I71">
        <v>44.788799999999995</v>
      </c>
      <c r="J71" s="2"/>
    </row>
    <row r="72" spans="1:10" x14ac:dyDescent="0.25">
      <c r="A72" s="1">
        <v>44042</v>
      </c>
      <c r="B72" t="s">
        <v>6</v>
      </c>
      <c r="C72" t="s">
        <v>7</v>
      </c>
      <c r="D72" t="s">
        <v>9</v>
      </c>
      <c r="E72" t="s">
        <v>11</v>
      </c>
      <c r="F72">
        <v>56</v>
      </c>
      <c r="G72">
        <v>1.8699999999999999</v>
      </c>
      <c r="H72">
        <f>Sales_Data[[#This Row],[Quantity]]*Sales_Data[[#This Row],[UnitPrice]]</f>
        <v>104.72</v>
      </c>
      <c r="I72">
        <v>93.200800000000001</v>
      </c>
      <c r="J72" s="2"/>
    </row>
    <row r="73" spans="1:10" x14ac:dyDescent="0.25">
      <c r="A73" s="1">
        <v>44045</v>
      </c>
      <c r="B73" t="s">
        <v>6</v>
      </c>
      <c r="C73" t="s">
        <v>7</v>
      </c>
      <c r="D73" t="s">
        <v>13</v>
      </c>
      <c r="E73" t="s">
        <v>15</v>
      </c>
      <c r="F73">
        <v>137</v>
      </c>
      <c r="G73">
        <v>2.84</v>
      </c>
      <c r="H73">
        <f>Sales_Data[[#This Row],[Quantity]]*Sales_Data[[#This Row],[UnitPrice]]</f>
        <v>389.08</v>
      </c>
      <c r="I73">
        <v>338.49959999999999</v>
      </c>
      <c r="J73" s="2"/>
    </row>
    <row r="74" spans="1:10" x14ac:dyDescent="0.25">
      <c r="A74" s="1">
        <v>44048</v>
      </c>
      <c r="B74" t="s">
        <v>19</v>
      </c>
      <c r="C74" t="s">
        <v>20</v>
      </c>
      <c r="D74" t="s">
        <v>13</v>
      </c>
      <c r="E74" t="s">
        <v>14</v>
      </c>
      <c r="F74">
        <v>107</v>
      </c>
      <c r="G74">
        <v>1.87</v>
      </c>
      <c r="H74">
        <f>Sales_Data[[#This Row],[Quantity]]*Sales_Data[[#This Row],[UnitPrice]]</f>
        <v>200.09</v>
      </c>
      <c r="I74">
        <v>164.07380000000001</v>
      </c>
      <c r="J74" s="2"/>
    </row>
    <row r="75" spans="1:10" x14ac:dyDescent="0.25">
      <c r="A75" s="1">
        <v>44051</v>
      </c>
      <c r="B75" t="s">
        <v>6</v>
      </c>
      <c r="C75" t="s">
        <v>18</v>
      </c>
      <c r="D75" t="s">
        <v>9</v>
      </c>
      <c r="E75" t="s">
        <v>12</v>
      </c>
      <c r="F75">
        <v>24</v>
      </c>
      <c r="G75">
        <v>1.7699999999999998</v>
      </c>
      <c r="H75">
        <f>Sales_Data[[#This Row],[Quantity]]*Sales_Data[[#This Row],[UnitPrice]]</f>
        <v>42.48</v>
      </c>
      <c r="I75">
        <v>36.532799999999995</v>
      </c>
      <c r="J75" s="2"/>
    </row>
    <row r="76" spans="1:10" x14ac:dyDescent="0.25">
      <c r="A76" s="1">
        <v>44054</v>
      </c>
      <c r="B76" t="s">
        <v>6</v>
      </c>
      <c r="C76" t="s">
        <v>18</v>
      </c>
      <c r="D76" t="s">
        <v>22</v>
      </c>
      <c r="E76" t="s">
        <v>23</v>
      </c>
      <c r="F76">
        <v>30</v>
      </c>
      <c r="G76">
        <v>3.49</v>
      </c>
      <c r="H76">
        <f>Sales_Data[[#This Row],[Quantity]]*Sales_Data[[#This Row],[UnitPrice]]</f>
        <v>104.7</v>
      </c>
      <c r="I76">
        <v>90.042000000000002</v>
      </c>
      <c r="J76" s="2"/>
    </row>
    <row r="77" spans="1:10" x14ac:dyDescent="0.25">
      <c r="A77" s="1">
        <v>44057</v>
      </c>
      <c r="B77" t="s">
        <v>19</v>
      </c>
      <c r="C77" t="s">
        <v>21</v>
      </c>
      <c r="D77" t="s">
        <v>13</v>
      </c>
      <c r="E77" t="s">
        <v>14</v>
      </c>
      <c r="F77">
        <v>70</v>
      </c>
      <c r="G77">
        <v>1.87</v>
      </c>
      <c r="H77">
        <f>Sales_Data[[#This Row],[Quantity]]*Sales_Data[[#This Row],[UnitPrice]]</f>
        <v>130.9</v>
      </c>
      <c r="I77">
        <v>123.04600000000001</v>
      </c>
      <c r="J77" s="2"/>
    </row>
    <row r="78" spans="1:10" x14ac:dyDescent="0.25">
      <c r="A78" s="1">
        <v>44060</v>
      </c>
      <c r="B78" t="s">
        <v>6</v>
      </c>
      <c r="C78" t="s">
        <v>7</v>
      </c>
      <c r="D78" t="s">
        <v>13</v>
      </c>
      <c r="E78" t="s">
        <v>8</v>
      </c>
      <c r="F78">
        <v>31</v>
      </c>
      <c r="G78">
        <v>2.1800000000000002</v>
      </c>
      <c r="H78">
        <f>Sales_Data[[#This Row],[Quantity]]*Sales_Data[[#This Row],[UnitPrice]]</f>
        <v>67.58</v>
      </c>
      <c r="I78">
        <v>55.415599999999998</v>
      </c>
      <c r="J78" s="2"/>
    </row>
    <row r="79" spans="1:10" x14ac:dyDescent="0.25">
      <c r="A79" s="1">
        <v>44063</v>
      </c>
      <c r="B79" t="s">
        <v>6</v>
      </c>
      <c r="C79" t="s">
        <v>7</v>
      </c>
      <c r="D79" t="s">
        <v>9</v>
      </c>
      <c r="E79" t="s">
        <v>12</v>
      </c>
      <c r="F79">
        <v>109</v>
      </c>
      <c r="G79">
        <v>1.77</v>
      </c>
      <c r="H79">
        <f>Sales_Data[[#This Row],[Quantity]]*Sales_Data[[#This Row],[UnitPrice]]</f>
        <v>192.93</v>
      </c>
      <c r="I79">
        <v>181.35420000000002</v>
      </c>
      <c r="J79" s="2"/>
    </row>
    <row r="80" spans="1:10" x14ac:dyDescent="0.25">
      <c r="A80" s="1">
        <v>44066</v>
      </c>
      <c r="B80" t="s">
        <v>6</v>
      </c>
      <c r="C80" t="s">
        <v>7</v>
      </c>
      <c r="D80" t="s">
        <v>22</v>
      </c>
      <c r="E80" t="s">
        <v>23</v>
      </c>
      <c r="F80">
        <v>21</v>
      </c>
      <c r="G80">
        <v>3.49</v>
      </c>
      <c r="H80">
        <f>Sales_Data[[#This Row],[Quantity]]*Sales_Data[[#This Row],[UnitPrice]]</f>
        <v>73.290000000000006</v>
      </c>
      <c r="I80">
        <v>66.693900000000014</v>
      </c>
      <c r="J80" s="2"/>
    </row>
    <row r="81" spans="1:10" x14ac:dyDescent="0.25">
      <c r="A81" s="1">
        <v>44069</v>
      </c>
      <c r="B81" t="s">
        <v>19</v>
      </c>
      <c r="C81" t="s">
        <v>20</v>
      </c>
      <c r="D81" t="s">
        <v>13</v>
      </c>
      <c r="E81" t="s">
        <v>14</v>
      </c>
      <c r="F81">
        <v>80</v>
      </c>
      <c r="G81">
        <v>1.8699999999999999</v>
      </c>
      <c r="H81">
        <f>Sales_Data[[#This Row],[Quantity]]*Sales_Data[[#This Row],[UnitPrice]]</f>
        <v>149.6</v>
      </c>
      <c r="I81">
        <v>148.10399999999998</v>
      </c>
      <c r="J81" s="2"/>
    </row>
    <row r="82" spans="1:10" x14ac:dyDescent="0.25">
      <c r="A82" s="1">
        <v>44072</v>
      </c>
      <c r="B82" t="s">
        <v>6</v>
      </c>
      <c r="C82" t="s">
        <v>18</v>
      </c>
      <c r="D82" t="s">
        <v>9</v>
      </c>
      <c r="E82" t="s">
        <v>11</v>
      </c>
      <c r="F82">
        <v>75</v>
      </c>
      <c r="G82">
        <v>1.87</v>
      </c>
      <c r="H82">
        <f>Sales_Data[[#This Row],[Quantity]]*Sales_Data[[#This Row],[UnitPrice]]</f>
        <v>140.25</v>
      </c>
      <c r="I82">
        <v>116.4075</v>
      </c>
      <c r="J82" s="2"/>
    </row>
    <row r="83" spans="1:10" x14ac:dyDescent="0.25">
      <c r="A83" s="1">
        <v>44075</v>
      </c>
      <c r="B83" t="s">
        <v>6</v>
      </c>
      <c r="C83" t="s">
        <v>18</v>
      </c>
      <c r="D83" t="s">
        <v>13</v>
      </c>
      <c r="E83" t="s">
        <v>15</v>
      </c>
      <c r="F83">
        <v>74</v>
      </c>
      <c r="G83">
        <v>2.84</v>
      </c>
      <c r="H83">
        <f>Sales_Data[[#This Row],[Quantity]]*Sales_Data[[#This Row],[UnitPrice]]</f>
        <v>210.16</v>
      </c>
      <c r="I83">
        <v>174.43279999999999</v>
      </c>
      <c r="J83" s="2"/>
    </row>
    <row r="84" spans="1:10" x14ac:dyDescent="0.25">
      <c r="A84" s="1">
        <v>44078</v>
      </c>
      <c r="B84" t="s">
        <v>19</v>
      </c>
      <c r="C84" t="s">
        <v>21</v>
      </c>
      <c r="D84" t="s">
        <v>9</v>
      </c>
      <c r="E84" t="s">
        <v>12</v>
      </c>
      <c r="F84">
        <v>45</v>
      </c>
      <c r="G84">
        <v>1.77</v>
      </c>
      <c r="H84">
        <f>Sales_Data[[#This Row],[Quantity]]*Sales_Data[[#This Row],[UnitPrice]]</f>
        <v>79.650000000000006</v>
      </c>
      <c r="I84">
        <v>67.702500000000001</v>
      </c>
      <c r="J84" s="2"/>
    </row>
    <row r="85" spans="1:10" x14ac:dyDescent="0.25">
      <c r="A85" s="1">
        <v>44081</v>
      </c>
      <c r="B85" t="s">
        <v>6</v>
      </c>
      <c r="C85" t="s">
        <v>7</v>
      </c>
      <c r="D85" t="s">
        <v>13</v>
      </c>
      <c r="E85" t="s">
        <v>8</v>
      </c>
      <c r="F85">
        <v>28</v>
      </c>
      <c r="G85">
        <v>2.1800000000000002</v>
      </c>
      <c r="H85">
        <f>Sales_Data[[#This Row],[Quantity]]*Sales_Data[[#This Row],[UnitPrice]]</f>
        <v>61.040000000000006</v>
      </c>
      <c r="I85">
        <v>57.377600000000008</v>
      </c>
      <c r="J85" s="2"/>
    </row>
    <row r="86" spans="1:10" x14ac:dyDescent="0.25">
      <c r="A86" s="1">
        <v>44084</v>
      </c>
      <c r="B86" t="s">
        <v>6</v>
      </c>
      <c r="C86" t="s">
        <v>7</v>
      </c>
      <c r="D86" t="s">
        <v>9</v>
      </c>
      <c r="E86" t="s">
        <v>12</v>
      </c>
      <c r="F86">
        <v>143</v>
      </c>
      <c r="G86">
        <v>1.77</v>
      </c>
      <c r="H86">
        <f>Sales_Data[[#This Row],[Quantity]]*Sales_Data[[#This Row],[UnitPrice]]</f>
        <v>253.11</v>
      </c>
      <c r="I86">
        <v>237.92340000000002</v>
      </c>
      <c r="J86" s="2"/>
    </row>
    <row r="87" spans="1:10" x14ac:dyDescent="0.25">
      <c r="A87" s="1">
        <v>44087</v>
      </c>
      <c r="B87" t="s">
        <v>6</v>
      </c>
      <c r="C87" t="s">
        <v>7</v>
      </c>
      <c r="D87" t="s">
        <v>16</v>
      </c>
      <c r="E87" t="s">
        <v>24</v>
      </c>
      <c r="F87">
        <v>27</v>
      </c>
      <c r="G87">
        <v>3.15</v>
      </c>
      <c r="H87">
        <f>Sales_Data[[#This Row],[Quantity]]*Sales_Data[[#This Row],[UnitPrice]]</f>
        <v>85.05</v>
      </c>
      <c r="I87">
        <v>81.647999999999996</v>
      </c>
      <c r="J87" s="2"/>
    </row>
    <row r="88" spans="1:10" x14ac:dyDescent="0.25">
      <c r="A88" s="1">
        <v>44090</v>
      </c>
      <c r="B88" t="s">
        <v>19</v>
      </c>
      <c r="C88" t="s">
        <v>20</v>
      </c>
      <c r="D88" t="s">
        <v>9</v>
      </c>
      <c r="E88" t="s">
        <v>12</v>
      </c>
      <c r="F88">
        <v>133</v>
      </c>
      <c r="G88">
        <v>1.77</v>
      </c>
      <c r="H88">
        <f>Sales_Data[[#This Row],[Quantity]]*Sales_Data[[#This Row],[UnitPrice]]</f>
        <v>235.41</v>
      </c>
      <c r="I88">
        <v>200.0985</v>
      </c>
      <c r="J88" s="2"/>
    </row>
    <row r="89" spans="1:10" x14ac:dyDescent="0.25">
      <c r="A89" s="1">
        <v>44093</v>
      </c>
      <c r="B89" t="s">
        <v>6</v>
      </c>
      <c r="C89" t="s">
        <v>18</v>
      </c>
      <c r="D89" t="s">
        <v>13</v>
      </c>
      <c r="E89" t="s">
        <v>8</v>
      </c>
      <c r="F89">
        <v>110</v>
      </c>
      <c r="G89">
        <v>2.1800000000000002</v>
      </c>
      <c r="H89">
        <f>Sales_Data[[#This Row],[Quantity]]*Sales_Data[[#This Row],[UnitPrice]]</f>
        <v>239.8</v>
      </c>
      <c r="I89">
        <v>218.21800000000002</v>
      </c>
      <c r="J89" s="2"/>
    </row>
    <row r="90" spans="1:10" x14ac:dyDescent="0.25">
      <c r="A90" s="1">
        <v>44096</v>
      </c>
      <c r="B90" t="s">
        <v>6</v>
      </c>
      <c r="C90" t="s">
        <v>18</v>
      </c>
      <c r="D90" t="s">
        <v>13</v>
      </c>
      <c r="E90" t="s">
        <v>14</v>
      </c>
      <c r="F90">
        <v>65</v>
      </c>
      <c r="G90">
        <v>1.8699999999999999</v>
      </c>
      <c r="H90">
        <f>Sales_Data[[#This Row],[Quantity]]*Sales_Data[[#This Row],[UnitPrice]]</f>
        <v>121.55</v>
      </c>
      <c r="I90">
        <v>111.82599999999999</v>
      </c>
      <c r="J90" s="2"/>
    </row>
    <row r="91" spans="1:10" x14ac:dyDescent="0.25">
      <c r="A91" s="1">
        <v>44099</v>
      </c>
      <c r="B91" t="s">
        <v>19</v>
      </c>
      <c r="C91" t="s">
        <v>21</v>
      </c>
      <c r="D91" t="s">
        <v>9</v>
      </c>
      <c r="E91" t="s">
        <v>11</v>
      </c>
      <c r="F91">
        <v>33</v>
      </c>
      <c r="G91">
        <v>1.87</v>
      </c>
      <c r="H91">
        <f>Sales_Data[[#This Row],[Quantity]]*Sales_Data[[#This Row],[UnitPrice]]</f>
        <v>61.71</v>
      </c>
      <c r="I91">
        <v>50.602200000000003</v>
      </c>
      <c r="J91" s="2"/>
    </row>
    <row r="92" spans="1:10" x14ac:dyDescent="0.25">
      <c r="A92" s="1">
        <v>44102</v>
      </c>
      <c r="B92" t="s">
        <v>6</v>
      </c>
      <c r="C92" t="s">
        <v>7</v>
      </c>
      <c r="D92" t="s">
        <v>13</v>
      </c>
      <c r="E92" t="s">
        <v>8</v>
      </c>
      <c r="F92">
        <v>81</v>
      </c>
      <c r="G92">
        <v>2.1800000000000002</v>
      </c>
      <c r="H92">
        <f>Sales_Data[[#This Row],[Quantity]]*Sales_Data[[#This Row],[UnitPrice]]</f>
        <v>176.58</v>
      </c>
      <c r="I92">
        <v>174.8142</v>
      </c>
      <c r="J92" s="2"/>
    </row>
    <row r="93" spans="1:10" x14ac:dyDescent="0.25">
      <c r="A93" s="1">
        <v>44105</v>
      </c>
      <c r="B93" t="s">
        <v>6</v>
      </c>
      <c r="C93" t="s">
        <v>7</v>
      </c>
      <c r="D93" t="s">
        <v>9</v>
      </c>
      <c r="E93" t="s">
        <v>12</v>
      </c>
      <c r="F93">
        <v>77</v>
      </c>
      <c r="G93">
        <v>1.7699999999999998</v>
      </c>
      <c r="H93">
        <f>Sales_Data[[#This Row],[Quantity]]*Sales_Data[[#This Row],[UnitPrice]]</f>
        <v>136.29</v>
      </c>
      <c r="I93">
        <v>117.20939999999999</v>
      </c>
      <c r="J93" s="2"/>
    </row>
    <row r="94" spans="1:10" x14ac:dyDescent="0.25">
      <c r="A94" s="1">
        <v>44108</v>
      </c>
      <c r="B94" t="s">
        <v>6</v>
      </c>
      <c r="C94" t="s">
        <v>7</v>
      </c>
      <c r="D94" t="s">
        <v>22</v>
      </c>
      <c r="E94" t="s">
        <v>23</v>
      </c>
      <c r="F94">
        <v>38</v>
      </c>
      <c r="G94">
        <v>3.49</v>
      </c>
      <c r="H94">
        <f>Sales_Data[[#This Row],[Quantity]]*Sales_Data[[#This Row],[UnitPrice]]</f>
        <v>132.62</v>
      </c>
      <c r="I94">
        <v>108.7484</v>
      </c>
      <c r="J94" s="2"/>
    </row>
    <row r="95" spans="1:10" x14ac:dyDescent="0.25">
      <c r="A95" s="1">
        <v>44111</v>
      </c>
      <c r="B95" t="s">
        <v>19</v>
      </c>
      <c r="C95" t="s">
        <v>20</v>
      </c>
      <c r="D95" t="s">
        <v>9</v>
      </c>
      <c r="E95" t="s">
        <v>12</v>
      </c>
      <c r="F95">
        <v>40</v>
      </c>
      <c r="G95">
        <v>1.77</v>
      </c>
      <c r="H95">
        <f>Sales_Data[[#This Row],[Quantity]]*Sales_Data[[#This Row],[UnitPrice]]</f>
        <v>70.8</v>
      </c>
      <c r="I95">
        <v>63.012</v>
      </c>
      <c r="J95" s="2"/>
    </row>
    <row r="96" spans="1:10" x14ac:dyDescent="0.25">
      <c r="A96" s="1">
        <v>44114</v>
      </c>
      <c r="B96" t="s">
        <v>19</v>
      </c>
      <c r="C96" t="s">
        <v>20</v>
      </c>
      <c r="D96" t="s">
        <v>16</v>
      </c>
      <c r="E96" t="s">
        <v>17</v>
      </c>
      <c r="F96">
        <v>114</v>
      </c>
      <c r="G96">
        <v>1.6800000000000002</v>
      </c>
      <c r="H96">
        <f>Sales_Data[[#This Row],[Quantity]]*Sales_Data[[#This Row],[UnitPrice]]</f>
        <v>191.52</v>
      </c>
      <c r="I96">
        <v>189.60480000000001</v>
      </c>
      <c r="J96" s="2"/>
    </row>
    <row r="97" spans="1:10" x14ac:dyDescent="0.25">
      <c r="A97" s="1">
        <v>44117</v>
      </c>
      <c r="B97" t="s">
        <v>6</v>
      </c>
      <c r="C97" t="s">
        <v>18</v>
      </c>
      <c r="D97" t="s">
        <v>13</v>
      </c>
      <c r="E97" t="s">
        <v>8</v>
      </c>
      <c r="F97">
        <v>224</v>
      </c>
      <c r="G97">
        <v>2.1800000000000002</v>
      </c>
      <c r="H97">
        <f>Sales_Data[[#This Row],[Quantity]]*Sales_Data[[#This Row],[UnitPrice]]</f>
        <v>488.32000000000005</v>
      </c>
      <c r="I97">
        <v>400.42240000000004</v>
      </c>
      <c r="J97" s="2"/>
    </row>
    <row r="98" spans="1:10" x14ac:dyDescent="0.25">
      <c r="A98" s="1">
        <v>44120</v>
      </c>
      <c r="B98" t="s">
        <v>6</v>
      </c>
      <c r="C98" t="s">
        <v>18</v>
      </c>
      <c r="D98" t="s">
        <v>9</v>
      </c>
      <c r="E98" t="s">
        <v>12</v>
      </c>
      <c r="F98">
        <v>141</v>
      </c>
      <c r="G98">
        <v>1.77</v>
      </c>
      <c r="H98">
        <f>Sales_Data[[#This Row],[Quantity]]*Sales_Data[[#This Row],[UnitPrice]]</f>
        <v>249.57</v>
      </c>
      <c r="I98">
        <v>222.1173</v>
      </c>
      <c r="J98" s="2"/>
    </row>
    <row r="99" spans="1:10" x14ac:dyDescent="0.25">
      <c r="A99" s="1">
        <v>44123</v>
      </c>
      <c r="B99" t="s">
        <v>6</v>
      </c>
      <c r="C99" t="s">
        <v>18</v>
      </c>
      <c r="D99" t="s">
        <v>22</v>
      </c>
      <c r="E99" t="s">
        <v>23</v>
      </c>
      <c r="F99">
        <v>32</v>
      </c>
      <c r="G99">
        <v>3.49</v>
      </c>
      <c r="H99">
        <f>Sales_Data[[#This Row],[Quantity]]*Sales_Data[[#This Row],[UnitPrice]]</f>
        <v>111.68</v>
      </c>
      <c r="I99">
        <v>110.56320000000001</v>
      </c>
      <c r="J99" s="2"/>
    </row>
    <row r="100" spans="1:10" x14ac:dyDescent="0.25">
      <c r="A100" s="1">
        <v>44126</v>
      </c>
      <c r="B100" t="s">
        <v>19</v>
      </c>
      <c r="C100" t="s">
        <v>21</v>
      </c>
      <c r="D100" t="s">
        <v>9</v>
      </c>
      <c r="E100" t="s">
        <v>12</v>
      </c>
      <c r="F100">
        <v>20</v>
      </c>
      <c r="G100">
        <v>1.77</v>
      </c>
      <c r="H100">
        <f>Sales_Data[[#This Row],[Quantity]]*Sales_Data[[#This Row],[UnitPrice]]</f>
        <v>35.4</v>
      </c>
      <c r="I100">
        <v>34.692</v>
      </c>
      <c r="J100" s="2"/>
    </row>
    <row r="101" spans="1:10" x14ac:dyDescent="0.25">
      <c r="A101" s="1">
        <v>44129</v>
      </c>
      <c r="B101" t="s">
        <v>6</v>
      </c>
      <c r="C101" t="s">
        <v>7</v>
      </c>
      <c r="D101" t="s">
        <v>13</v>
      </c>
      <c r="E101" t="s">
        <v>8</v>
      </c>
      <c r="F101">
        <v>40</v>
      </c>
      <c r="G101">
        <v>2.1800000000000002</v>
      </c>
      <c r="H101">
        <f>Sales_Data[[#This Row],[Quantity]]*Sales_Data[[#This Row],[UnitPrice]]</f>
        <v>87.2</v>
      </c>
      <c r="I101">
        <v>75.864000000000004</v>
      </c>
      <c r="J101" s="2"/>
    </row>
    <row r="102" spans="1:10" x14ac:dyDescent="0.25">
      <c r="A102" s="1">
        <v>44132</v>
      </c>
      <c r="B102" t="s">
        <v>6</v>
      </c>
      <c r="C102" t="s">
        <v>7</v>
      </c>
      <c r="D102" t="s">
        <v>13</v>
      </c>
      <c r="E102" t="s">
        <v>14</v>
      </c>
      <c r="F102">
        <v>49</v>
      </c>
      <c r="G102">
        <v>1.8699999999999999</v>
      </c>
      <c r="H102">
        <f>Sales_Data[[#This Row],[Quantity]]*Sales_Data[[#This Row],[UnitPrice]]</f>
        <v>91.63</v>
      </c>
      <c r="I102">
        <v>82.466999999999999</v>
      </c>
      <c r="J102" s="2"/>
    </row>
    <row r="103" spans="1:10" x14ac:dyDescent="0.25">
      <c r="A103" s="1">
        <v>44135</v>
      </c>
      <c r="B103" t="s">
        <v>6</v>
      </c>
      <c r="C103" t="s">
        <v>7</v>
      </c>
      <c r="D103" t="s">
        <v>22</v>
      </c>
      <c r="E103" t="s">
        <v>23</v>
      </c>
      <c r="F103">
        <v>46</v>
      </c>
      <c r="G103">
        <v>3.4899999999999998</v>
      </c>
      <c r="H103">
        <f>Sales_Data[[#This Row],[Quantity]]*Sales_Data[[#This Row],[UnitPrice]]</f>
        <v>160.54</v>
      </c>
      <c r="I103">
        <v>136.459</v>
      </c>
      <c r="J103" s="2"/>
    </row>
    <row r="104" spans="1:10" x14ac:dyDescent="0.25">
      <c r="A104" s="1">
        <v>44138</v>
      </c>
      <c r="B104" t="s">
        <v>19</v>
      </c>
      <c r="C104" t="s">
        <v>20</v>
      </c>
      <c r="D104" t="s">
        <v>9</v>
      </c>
      <c r="E104" t="s">
        <v>12</v>
      </c>
      <c r="F104">
        <v>39</v>
      </c>
      <c r="G104">
        <v>1.77</v>
      </c>
      <c r="H104">
        <f>Sales_Data[[#This Row],[Quantity]]*Sales_Data[[#This Row],[UnitPrice]]</f>
        <v>69.03</v>
      </c>
      <c r="I104">
        <v>57.294899999999998</v>
      </c>
      <c r="J104" s="2"/>
    </row>
    <row r="105" spans="1:10" x14ac:dyDescent="0.25">
      <c r="A105" s="1">
        <v>44141</v>
      </c>
      <c r="B105" t="s">
        <v>19</v>
      </c>
      <c r="C105" t="s">
        <v>20</v>
      </c>
      <c r="D105" t="s">
        <v>16</v>
      </c>
      <c r="E105" t="s">
        <v>17</v>
      </c>
      <c r="F105">
        <v>62</v>
      </c>
      <c r="G105">
        <v>1.68</v>
      </c>
      <c r="H105">
        <f>Sales_Data[[#This Row],[Quantity]]*Sales_Data[[#This Row],[UnitPrice]]</f>
        <v>104.16</v>
      </c>
      <c r="I105">
        <v>97.910399999999996</v>
      </c>
      <c r="J105" s="2"/>
    </row>
    <row r="106" spans="1:10" x14ac:dyDescent="0.25">
      <c r="A106" s="1">
        <v>44144</v>
      </c>
      <c r="B106" t="s">
        <v>6</v>
      </c>
      <c r="C106" t="s">
        <v>18</v>
      </c>
      <c r="D106" t="s">
        <v>9</v>
      </c>
      <c r="E106" t="s">
        <v>12</v>
      </c>
      <c r="F106">
        <v>90</v>
      </c>
      <c r="G106">
        <v>1.77</v>
      </c>
      <c r="H106">
        <f>Sales_Data[[#This Row],[Quantity]]*Sales_Data[[#This Row],[UnitPrice]]</f>
        <v>159.30000000000001</v>
      </c>
      <c r="I106">
        <v>130.626</v>
      </c>
      <c r="J106" s="2"/>
    </row>
    <row r="107" spans="1:10" x14ac:dyDescent="0.25">
      <c r="A107" s="1">
        <v>44147</v>
      </c>
      <c r="B107" t="s">
        <v>19</v>
      </c>
      <c r="C107" t="s">
        <v>21</v>
      </c>
      <c r="D107" t="s">
        <v>13</v>
      </c>
      <c r="E107" t="s">
        <v>8</v>
      </c>
      <c r="F107">
        <v>103</v>
      </c>
      <c r="G107">
        <v>2.1799999999999997</v>
      </c>
      <c r="H107">
        <f>Sales_Data[[#This Row],[Quantity]]*Sales_Data[[#This Row],[UnitPrice]]</f>
        <v>224.53999999999996</v>
      </c>
      <c r="I107">
        <v>206.57679999999996</v>
      </c>
      <c r="J107" s="2"/>
    </row>
    <row r="108" spans="1:10" x14ac:dyDescent="0.25">
      <c r="A108" s="1">
        <v>44150</v>
      </c>
      <c r="B108" t="s">
        <v>19</v>
      </c>
      <c r="C108" t="s">
        <v>21</v>
      </c>
      <c r="D108" t="s">
        <v>13</v>
      </c>
      <c r="E108" t="s">
        <v>15</v>
      </c>
      <c r="F108">
        <v>32</v>
      </c>
      <c r="G108">
        <v>2.84</v>
      </c>
      <c r="H108">
        <f>Sales_Data[[#This Row],[Quantity]]*Sales_Data[[#This Row],[UnitPrice]]</f>
        <v>90.88</v>
      </c>
      <c r="I108">
        <v>84.5184</v>
      </c>
      <c r="J108" s="2"/>
    </row>
    <row r="109" spans="1:10" x14ac:dyDescent="0.25">
      <c r="A109" s="1">
        <v>44153</v>
      </c>
      <c r="B109" t="s">
        <v>6</v>
      </c>
      <c r="C109" t="s">
        <v>7</v>
      </c>
      <c r="D109" t="s">
        <v>9</v>
      </c>
      <c r="E109" t="s">
        <v>11</v>
      </c>
      <c r="F109">
        <v>66</v>
      </c>
      <c r="G109">
        <v>1.87</v>
      </c>
      <c r="H109">
        <f>Sales_Data[[#This Row],[Quantity]]*Sales_Data[[#This Row],[UnitPrice]]</f>
        <v>123.42</v>
      </c>
      <c r="I109">
        <v>119.7174</v>
      </c>
      <c r="J109" s="2"/>
    </row>
    <row r="110" spans="1:10" x14ac:dyDescent="0.25">
      <c r="A110" s="1">
        <v>44156</v>
      </c>
      <c r="B110" t="s">
        <v>6</v>
      </c>
      <c r="C110" t="s">
        <v>7</v>
      </c>
      <c r="D110" t="s">
        <v>13</v>
      </c>
      <c r="E110" t="s">
        <v>15</v>
      </c>
      <c r="F110">
        <v>97</v>
      </c>
      <c r="G110">
        <v>2.8400000000000003</v>
      </c>
      <c r="H110">
        <f>Sales_Data[[#This Row],[Quantity]]*Sales_Data[[#This Row],[UnitPrice]]</f>
        <v>275.48</v>
      </c>
      <c r="I110">
        <v>236.9128</v>
      </c>
      <c r="J110" s="2"/>
    </row>
    <row r="111" spans="1:10" x14ac:dyDescent="0.25">
      <c r="A111" s="1">
        <v>44159</v>
      </c>
      <c r="B111" t="s">
        <v>19</v>
      </c>
      <c r="C111" t="s">
        <v>20</v>
      </c>
      <c r="D111" t="s">
        <v>9</v>
      </c>
      <c r="E111" t="s">
        <v>12</v>
      </c>
      <c r="F111">
        <v>30</v>
      </c>
      <c r="G111">
        <v>1.77</v>
      </c>
      <c r="H111">
        <f>Sales_Data[[#This Row],[Quantity]]*Sales_Data[[#This Row],[UnitPrice]]</f>
        <v>53.1</v>
      </c>
      <c r="I111">
        <v>49.383000000000003</v>
      </c>
      <c r="J111" s="2"/>
    </row>
    <row r="112" spans="1:10" x14ac:dyDescent="0.25">
      <c r="A112" s="1">
        <v>44162</v>
      </c>
      <c r="B112" t="s">
        <v>19</v>
      </c>
      <c r="C112" t="s">
        <v>20</v>
      </c>
      <c r="D112" t="s">
        <v>16</v>
      </c>
      <c r="E112" t="s">
        <v>17</v>
      </c>
      <c r="F112">
        <v>29</v>
      </c>
      <c r="G112">
        <v>1.68</v>
      </c>
      <c r="H112">
        <f>Sales_Data[[#This Row],[Quantity]]*Sales_Data[[#This Row],[UnitPrice]]</f>
        <v>48.72</v>
      </c>
      <c r="I112">
        <v>44.3352</v>
      </c>
      <c r="J112" s="2"/>
    </row>
    <row r="113" spans="1:10" x14ac:dyDescent="0.25">
      <c r="A113" s="1">
        <v>44165</v>
      </c>
      <c r="B113" t="s">
        <v>6</v>
      </c>
      <c r="C113" t="s">
        <v>18</v>
      </c>
      <c r="D113" t="s">
        <v>9</v>
      </c>
      <c r="E113" t="s">
        <v>12</v>
      </c>
      <c r="F113">
        <v>92</v>
      </c>
      <c r="G113">
        <v>1.77</v>
      </c>
      <c r="H113">
        <f>Sales_Data[[#This Row],[Quantity]]*Sales_Data[[#This Row],[UnitPrice]]</f>
        <v>162.84</v>
      </c>
      <c r="I113">
        <v>136.78559999999999</v>
      </c>
      <c r="J113" s="2"/>
    </row>
    <row r="114" spans="1:10" x14ac:dyDescent="0.25">
      <c r="A114" s="1">
        <v>44168</v>
      </c>
      <c r="B114" t="s">
        <v>19</v>
      </c>
      <c r="C114" t="s">
        <v>21</v>
      </c>
      <c r="D114" t="s">
        <v>13</v>
      </c>
      <c r="E114" t="s">
        <v>8</v>
      </c>
      <c r="F114">
        <v>139</v>
      </c>
      <c r="G114">
        <v>2.1799999999999997</v>
      </c>
      <c r="H114">
        <f>Sales_Data[[#This Row],[Quantity]]*Sales_Data[[#This Row],[UnitPrice]]</f>
        <v>303.02</v>
      </c>
      <c r="I114">
        <v>263.62739999999997</v>
      </c>
      <c r="J114" s="2"/>
    </row>
    <row r="115" spans="1:10" x14ac:dyDescent="0.25">
      <c r="A115" s="1">
        <v>44171</v>
      </c>
      <c r="B115" t="s">
        <v>19</v>
      </c>
      <c r="C115" t="s">
        <v>21</v>
      </c>
      <c r="D115" t="s">
        <v>13</v>
      </c>
      <c r="E115" t="s">
        <v>15</v>
      </c>
      <c r="F115">
        <v>29</v>
      </c>
      <c r="G115">
        <v>2.84</v>
      </c>
      <c r="H115">
        <f>Sales_Data[[#This Row],[Quantity]]*Sales_Data[[#This Row],[UnitPrice]]</f>
        <v>82.36</v>
      </c>
      <c r="I115">
        <v>80.712800000000001</v>
      </c>
      <c r="J115" s="2"/>
    </row>
    <row r="116" spans="1:10" x14ac:dyDescent="0.25">
      <c r="A116" s="1">
        <v>44174</v>
      </c>
      <c r="B116" t="s">
        <v>6</v>
      </c>
      <c r="C116" t="s">
        <v>7</v>
      </c>
      <c r="D116" t="s">
        <v>9</v>
      </c>
      <c r="E116" t="s">
        <v>10</v>
      </c>
      <c r="F116">
        <v>30</v>
      </c>
      <c r="G116">
        <v>2.27</v>
      </c>
      <c r="H116">
        <f>Sales_Data[[#This Row],[Quantity]]*Sales_Data[[#This Row],[UnitPrice]]</f>
        <v>68.099999999999994</v>
      </c>
      <c r="I116">
        <v>56.522999999999996</v>
      </c>
      <c r="J116" s="2"/>
    </row>
    <row r="117" spans="1:10" x14ac:dyDescent="0.25">
      <c r="A117" s="1">
        <v>44177</v>
      </c>
      <c r="B117" t="s">
        <v>6</v>
      </c>
      <c r="C117" t="s">
        <v>7</v>
      </c>
      <c r="D117" t="s">
        <v>13</v>
      </c>
      <c r="E117" t="s">
        <v>14</v>
      </c>
      <c r="F117">
        <v>36</v>
      </c>
      <c r="G117">
        <v>1.8699999999999999</v>
      </c>
      <c r="H117">
        <f>Sales_Data[[#This Row],[Quantity]]*Sales_Data[[#This Row],[UnitPrice]]</f>
        <v>67.319999999999993</v>
      </c>
      <c r="I117">
        <v>66.646799999999999</v>
      </c>
      <c r="J117" s="2"/>
    </row>
    <row r="118" spans="1:10" x14ac:dyDescent="0.25">
      <c r="A118" s="1">
        <v>44180</v>
      </c>
      <c r="B118" t="s">
        <v>6</v>
      </c>
      <c r="C118" t="s">
        <v>7</v>
      </c>
      <c r="D118" t="s">
        <v>22</v>
      </c>
      <c r="E118" t="s">
        <v>23</v>
      </c>
      <c r="F118">
        <v>41</v>
      </c>
      <c r="G118">
        <v>3.49</v>
      </c>
      <c r="H118">
        <f>Sales_Data[[#This Row],[Quantity]]*Sales_Data[[#This Row],[UnitPrice]]</f>
        <v>143.09</v>
      </c>
      <c r="I118">
        <v>117.3338</v>
      </c>
      <c r="J118" s="2"/>
    </row>
    <row r="119" spans="1:10" x14ac:dyDescent="0.25">
      <c r="A119" s="1">
        <v>44183</v>
      </c>
      <c r="B119" t="s">
        <v>19</v>
      </c>
      <c r="C119" t="s">
        <v>20</v>
      </c>
      <c r="D119" t="s">
        <v>9</v>
      </c>
      <c r="E119" t="s">
        <v>12</v>
      </c>
      <c r="F119">
        <v>44</v>
      </c>
      <c r="G119">
        <v>1.7699999999999998</v>
      </c>
      <c r="H119">
        <f>Sales_Data[[#This Row],[Quantity]]*Sales_Data[[#This Row],[UnitPrice]]</f>
        <v>77.88</v>
      </c>
      <c r="I119">
        <v>75.543599999999998</v>
      </c>
      <c r="J119" s="2"/>
    </row>
    <row r="120" spans="1:10" x14ac:dyDescent="0.25">
      <c r="A120" s="1">
        <v>44186</v>
      </c>
      <c r="B120" t="s">
        <v>19</v>
      </c>
      <c r="C120" t="s">
        <v>20</v>
      </c>
      <c r="D120" t="s">
        <v>16</v>
      </c>
      <c r="E120" t="s">
        <v>17</v>
      </c>
      <c r="F120">
        <v>29</v>
      </c>
      <c r="G120">
        <v>1.68</v>
      </c>
      <c r="H120">
        <f>Sales_Data[[#This Row],[Quantity]]*Sales_Data[[#This Row],[UnitPrice]]</f>
        <v>48.72</v>
      </c>
      <c r="I120">
        <v>43.360799999999998</v>
      </c>
      <c r="J120" s="2"/>
    </row>
    <row r="121" spans="1:10" x14ac:dyDescent="0.25">
      <c r="A121" s="1">
        <v>44189</v>
      </c>
      <c r="B121" t="s">
        <v>6</v>
      </c>
      <c r="C121" t="s">
        <v>18</v>
      </c>
      <c r="D121" t="s">
        <v>13</v>
      </c>
      <c r="E121" t="s">
        <v>8</v>
      </c>
      <c r="F121">
        <v>237</v>
      </c>
      <c r="G121">
        <v>2.1799999999999997</v>
      </c>
      <c r="H121">
        <f>Sales_Data[[#This Row],[Quantity]]*Sales_Data[[#This Row],[UnitPrice]]</f>
        <v>516.66</v>
      </c>
      <c r="I121">
        <v>464.99399999999997</v>
      </c>
      <c r="J121" s="2"/>
    </row>
    <row r="122" spans="1:10" x14ac:dyDescent="0.25">
      <c r="A122" s="1">
        <v>44192</v>
      </c>
      <c r="B122" t="s">
        <v>6</v>
      </c>
      <c r="C122" t="s">
        <v>18</v>
      </c>
      <c r="D122" t="s">
        <v>13</v>
      </c>
      <c r="E122" t="s">
        <v>14</v>
      </c>
      <c r="F122">
        <v>65</v>
      </c>
      <c r="G122">
        <v>1.8699999999999999</v>
      </c>
      <c r="H122">
        <f>Sales_Data[[#This Row],[Quantity]]*Sales_Data[[#This Row],[UnitPrice]]</f>
        <v>121.55</v>
      </c>
      <c r="I122">
        <v>99.670999999999992</v>
      </c>
      <c r="J122" s="2"/>
    </row>
    <row r="123" spans="1:10" x14ac:dyDescent="0.25">
      <c r="A123" s="1">
        <v>44195</v>
      </c>
      <c r="B123" t="s">
        <v>19</v>
      </c>
      <c r="C123" t="s">
        <v>21</v>
      </c>
      <c r="D123" t="s">
        <v>13</v>
      </c>
      <c r="E123" t="s">
        <v>8</v>
      </c>
      <c r="F123">
        <v>83</v>
      </c>
      <c r="G123">
        <v>2.1800000000000002</v>
      </c>
      <c r="H123">
        <f>Sales_Data[[#This Row],[Quantity]]*Sales_Data[[#This Row],[UnitPrice]]</f>
        <v>180.94000000000003</v>
      </c>
      <c r="I123">
        <v>179.13060000000002</v>
      </c>
      <c r="J123" s="2"/>
    </row>
    <row r="124" spans="1:10" x14ac:dyDescent="0.25">
      <c r="A124" s="1">
        <v>44198</v>
      </c>
      <c r="B124" t="s">
        <v>6</v>
      </c>
      <c r="C124" t="s">
        <v>7</v>
      </c>
      <c r="D124" t="s">
        <v>13</v>
      </c>
      <c r="E124" t="s">
        <v>8</v>
      </c>
      <c r="F124">
        <v>32</v>
      </c>
      <c r="G124">
        <v>2.1800000000000002</v>
      </c>
      <c r="H124">
        <f>Sales_Data[[#This Row],[Quantity]]*Sales_Data[[#This Row],[UnitPrice]]</f>
        <v>69.760000000000005</v>
      </c>
      <c r="I124">
        <v>57.900800000000004</v>
      </c>
      <c r="J124" s="2"/>
    </row>
    <row r="125" spans="1:10" x14ac:dyDescent="0.25">
      <c r="A125" s="1">
        <v>44201</v>
      </c>
      <c r="B125" t="s">
        <v>6</v>
      </c>
      <c r="C125" t="s">
        <v>7</v>
      </c>
      <c r="D125" t="s">
        <v>9</v>
      </c>
      <c r="E125" t="s">
        <v>12</v>
      </c>
      <c r="F125">
        <v>63</v>
      </c>
      <c r="G125">
        <v>1.77</v>
      </c>
      <c r="H125">
        <f>Sales_Data[[#This Row],[Quantity]]*Sales_Data[[#This Row],[UnitPrice]]</f>
        <v>111.51</v>
      </c>
      <c r="I125">
        <v>95.898600000000002</v>
      </c>
      <c r="J125" s="2"/>
    </row>
    <row r="126" spans="1:10" x14ac:dyDescent="0.25">
      <c r="A126" s="1">
        <v>44204</v>
      </c>
      <c r="B126" t="s">
        <v>6</v>
      </c>
      <c r="C126" t="s">
        <v>7</v>
      </c>
      <c r="D126" t="s">
        <v>16</v>
      </c>
      <c r="E126" t="s">
        <v>24</v>
      </c>
      <c r="F126">
        <v>29</v>
      </c>
      <c r="G126">
        <v>3.15</v>
      </c>
      <c r="H126">
        <f>Sales_Data[[#This Row],[Quantity]]*Sales_Data[[#This Row],[UnitPrice]]</f>
        <v>91.35</v>
      </c>
      <c r="I126">
        <v>76.733999999999995</v>
      </c>
      <c r="J126" s="2"/>
    </row>
    <row r="127" spans="1:10" x14ac:dyDescent="0.25">
      <c r="A127" s="1">
        <v>44207</v>
      </c>
      <c r="B127" t="s">
        <v>19</v>
      </c>
      <c r="C127" t="s">
        <v>20</v>
      </c>
      <c r="D127" t="s">
        <v>9</v>
      </c>
      <c r="E127" t="s">
        <v>11</v>
      </c>
      <c r="F127">
        <v>77</v>
      </c>
      <c r="G127">
        <v>1.87</v>
      </c>
      <c r="H127">
        <f>Sales_Data[[#This Row],[Quantity]]*Sales_Data[[#This Row],[UnitPrice]]</f>
        <v>143.99</v>
      </c>
      <c r="I127">
        <v>120.95160000000001</v>
      </c>
      <c r="J127" s="2"/>
    </row>
    <row r="128" spans="1:10" x14ac:dyDescent="0.25">
      <c r="A128" s="1">
        <v>44210</v>
      </c>
      <c r="B128" t="s">
        <v>19</v>
      </c>
      <c r="C128" t="s">
        <v>20</v>
      </c>
      <c r="D128" t="s">
        <v>13</v>
      </c>
      <c r="E128" t="s">
        <v>15</v>
      </c>
      <c r="F128">
        <v>80</v>
      </c>
      <c r="G128">
        <v>2.84</v>
      </c>
      <c r="H128">
        <f>Sales_Data[[#This Row],[Quantity]]*Sales_Data[[#This Row],[UnitPrice]]</f>
        <v>227.2</v>
      </c>
      <c r="I128">
        <v>202.208</v>
      </c>
      <c r="J128" s="2"/>
    </row>
    <row r="129" spans="1:10" x14ac:dyDescent="0.25">
      <c r="A129" s="1">
        <v>44213</v>
      </c>
      <c r="B129" t="s">
        <v>6</v>
      </c>
      <c r="C129" t="s">
        <v>18</v>
      </c>
      <c r="D129" t="s">
        <v>9</v>
      </c>
      <c r="E129" t="s">
        <v>12</v>
      </c>
      <c r="F129">
        <v>102</v>
      </c>
      <c r="G129">
        <v>1.77</v>
      </c>
      <c r="H129">
        <f>Sales_Data[[#This Row],[Quantity]]*Sales_Data[[#This Row],[UnitPrice]]</f>
        <v>180.54</v>
      </c>
      <c r="I129">
        <v>155.26439999999999</v>
      </c>
      <c r="J129" s="2"/>
    </row>
    <row r="130" spans="1:10" x14ac:dyDescent="0.25">
      <c r="A130" s="1">
        <v>44216</v>
      </c>
      <c r="B130" t="s">
        <v>6</v>
      </c>
      <c r="C130" t="s">
        <v>18</v>
      </c>
      <c r="D130" t="s">
        <v>22</v>
      </c>
      <c r="E130" t="s">
        <v>23</v>
      </c>
      <c r="F130">
        <v>31</v>
      </c>
      <c r="G130">
        <v>3.4899999999999998</v>
      </c>
      <c r="H130">
        <f>Sales_Data[[#This Row],[Quantity]]*Sales_Data[[#This Row],[UnitPrice]]</f>
        <v>108.19</v>
      </c>
      <c r="I130">
        <v>89.797699999999992</v>
      </c>
      <c r="J130" s="2"/>
    </row>
    <row r="131" spans="1:10" x14ac:dyDescent="0.25">
      <c r="A131" s="1">
        <v>44219</v>
      </c>
      <c r="B131" t="s">
        <v>19</v>
      </c>
      <c r="C131" t="s">
        <v>21</v>
      </c>
      <c r="D131" t="s">
        <v>9</v>
      </c>
      <c r="E131" t="s">
        <v>12</v>
      </c>
      <c r="F131">
        <v>56</v>
      </c>
      <c r="G131">
        <v>1.77</v>
      </c>
      <c r="H131">
        <f>Sales_Data[[#This Row],[Quantity]]*Sales_Data[[#This Row],[UnitPrice]]</f>
        <v>99.12</v>
      </c>
      <c r="I131">
        <v>95.155200000000008</v>
      </c>
      <c r="J131" s="2"/>
    </row>
    <row r="132" spans="1:10" x14ac:dyDescent="0.25">
      <c r="A132" s="1">
        <v>44222</v>
      </c>
      <c r="B132" t="s">
        <v>6</v>
      </c>
      <c r="C132" t="s">
        <v>7</v>
      </c>
      <c r="D132" t="s">
        <v>13</v>
      </c>
      <c r="E132" t="s">
        <v>8</v>
      </c>
      <c r="F132">
        <v>52</v>
      </c>
      <c r="G132">
        <v>2.1800000000000002</v>
      </c>
      <c r="H132">
        <f>Sales_Data[[#This Row],[Quantity]]*Sales_Data[[#This Row],[UnitPrice]]</f>
        <v>113.36000000000001</v>
      </c>
      <c r="I132">
        <v>109.95920000000001</v>
      </c>
      <c r="J132" s="2"/>
    </row>
    <row r="133" spans="1:10" x14ac:dyDescent="0.25">
      <c r="A133" s="1">
        <v>44225</v>
      </c>
      <c r="B133" t="s">
        <v>6</v>
      </c>
      <c r="C133" t="s">
        <v>7</v>
      </c>
      <c r="D133" t="s">
        <v>9</v>
      </c>
      <c r="E133" t="s">
        <v>12</v>
      </c>
      <c r="F133">
        <v>51</v>
      </c>
      <c r="G133">
        <v>1.77</v>
      </c>
      <c r="H133">
        <f>Sales_Data[[#This Row],[Quantity]]*Sales_Data[[#This Row],[UnitPrice]]</f>
        <v>90.27</v>
      </c>
      <c r="I133">
        <v>81.242999999999995</v>
      </c>
      <c r="J133" s="2"/>
    </row>
    <row r="134" spans="1:10" x14ac:dyDescent="0.25">
      <c r="A134" s="1">
        <v>44228</v>
      </c>
      <c r="B134" t="s">
        <v>6</v>
      </c>
      <c r="C134" t="s">
        <v>7</v>
      </c>
      <c r="D134" t="s">
        <v>16</v>
      </c>
      <c r="E134" t="s">
        <v>17</v>
      </c>
      <c r="F134">
        <v>24</v>
      </c>
      <c r="G134">
        <v>1.68</v>
      </c>
      <c r="H134">
        <f>Sales_Data[[#This Row],[Quantity]]*Sales_Data[[#This Row],[UnitPrice]]</f>
        <v>40.32</v>
      </c>
      <c r="I134">
        <v>33.465600000000002</v>
      </c>
      <c r="J134" s="2"/>
    </row>
    <row r="135" spans="1:10" x14ac:dyDescent="0.25">
      <c r="A135" s="1">
        <v>44231</v>
      </c>
      <c r="B135" t="s">
        <v>19</v>
      </c>
      <c r="C135" t="s">
        <v>20</v>
      </c>
      <c r="D135" t="s">
        <v>13</v>
      </c>
      <c r="E135" t="s">
        <v>8</v>
      </c>
      <c r="F135">
        <v>58</v>
      </c>
      <c r="G135">
        <v>2.1800000000000002</v>
      </c>
      <c r="H135">
        <f>Sales_Data[[#This Row],[Quantity]]*Sales_Data[[#This Row],[UnitPrice]]</f>
        <v>126.44000000000001</v>
      </c>
      <c r="I135">
        <v>121.38240000000002</v>
      </c>
      <c r="J135" s="2"/>
    </row>
    <row r="136" spans="1:10" x14ac:dyDescent="0.25">
      <c r="A136" s="1">
        <v>44234</v>
      </c>
      <c r="B136" t="s">
        <v>19</v>
      </c>
      <c r="C136" t="s">
        <v>20</v>
      </c>
      <c r="D136" t="s">
        <v>13</v>
      </c>
      <c r="E136" t="s">
        <v>14</v>
      </c>
      <c r="F136">
        <v>34</v>
      </c>
      <c r="G136">
        <v>1.8699999999999999</v>
      </c>
      <c r="H136">
        <f>Sales_Data[[#This Row],[Quantity]]*Sales_Data[[#This Row],[UnitPrice]]</f>
        <v>63.58</v>
      </c>
      <c r="I136">
        <v>57.222000000000001</v>
      </c>
      <c r="J136" s="2"/>
    </row>
    <row r="137" spans="1:10" x14ac:dyDescent="0.25">
      <c r="A137" s="1">
        <v>44237</v>
      </c>
      <c r="B137" t="s">
        <v>6</v>
      </c>
      <c r="C137" t="s">
        <v>18</v>
      </c>
      <c r="D137" t="s">
        <v>9</v>
      </c>
      <c r="E137" t="s">
        <v>12</v>
      </c>
      <c r="F137">
        <v>34</v>
      </c>
      <c r="G137">
        <v>1.77</v>
      </c>
      <c r="H137">
        <f>Sales_Data[[#This Row],[Quantity]]*Sales_Data[[#This Row],[UnitPrice]]</f>
        <v>60.18</v>
      </c>
      <c r="I137">
        <v>59.578200000000002</v>
      </c>
      <c r="J137" s="2"/>
    </row>
    <row r="138" spans="1:10" x14ac:dyDescent="0.25">
      <c r="A138" s="1">
        <v>44240</v>
      </c>
      <c r="B138" t="s">
        <v>6</v>
      </c>
      <c r="C138" t="s">
        <v>18</v>
      </c>
      <c r="D138" t="s">
        <v>16</v>
      </c>
      <c r="E138" t="s">
        <v>17</v>
      </c>
      <c r="F138">
        <v>21</v>
      </c>
      <c r="G138">
        <v>1.6800000000000002</v>
      </c>
      <c r="H138">
        <f>Sales_Data[[#This Row],[Quantity]]*Sales_Data[[#This Row],[UnitPrice]]</f>
        <v>35.28</v>
      </c>
      <c r="I138">
        <v>34.574400000000004</v>
      </c>
      <c r="J138" s="2"/>
    </row>
    <row r="139" spans="1:10" x14ac:dyDescent="0.25">
      <c r="A139" s="1">
        <v>44243</v>
      </c>
      <c r="B139" t="s">
        <v>19</v>
      </c>
      <c r="C139" t="s">
        <v>21</v>
      </c>
      <c r="D139" t="s">
        <v>13</v>
      </c>
      <c r="E139" t="s">
        <v>15</v>
      </c>
      <c r="F139">
        <v>29</v>
      </c>
      <c r="G139">
        <v>2.84</v>
      </c>
      <c r="H139">
        <f>Sales_Data[[#This Row],[Quantity]]*Sales_Data[[#This Row],[UnitPrice]]</f>
        <v>82.36</v>
      </c>
      <c r="I139">
        <v>67.535200000000003</v>
      </c>
      <c r="J139" s="2"/>
    </row>
    <row r="140" spans="1:10" x14ac:dyDescent="0.25">
      <c r="A140" s="1">
        <v>44246</v>
      </c>
      <c r="B140" t="s">
        <v>6</v>
      </c>
      <c r="C140" t="s">
        <v>7</v>
      </c>
      <c r="D140" t="s">
        <v>9</v>
      </c>
      <c r="E140" t="s">
        <v>12</v>
      </c>
      <c r="F140">
        <v>68</v>
      </c>
      <c r="G140">
        <v>1.77</v>
      </c>
      <c r="H140">
        <f>Sales_Data[[#This Row],[Quantity]]*Sales_Data[[#This Row],[UnitPrice]]</f>
        <v>120.36</v>
      </c>
      <c r="I140">
        <v>107.1204</v>
      </c>
      <c r="J140" s="2"/>
    </row>
    <row r="141" spans="1:10" x14ac:dyDescent="0.25">
      <c r="A141" s="1">
        <v>44249</v>
      </c>
      <c r="B141" t="s">
        <v>6</v>
      </c>
      <c r="C141" t="s">
        <v>7</v>
      </c>
      <c r="D141" t="s">
        <v>16</v>
      </c>
      <c r="E141" t="s">
        <v>24</v>
      </c>
      <c r="F141">
        <v>31</v>
      </c>
      <c r="G141">
        <v>3.1500000000000004</v>
      </c>
      <c r="H141">
        <f>Sales_Data[[#This Row],[Quantity]]*Sales_Data[[#This Row],[UnitPrice]]</f>
        <v>97.65</v>
      </c>
      <c r="I141">
        <v>81.049500000000009</v>
      </c>
      <c r="J141" s="2"/>
    </row>
    <row r="142" spans="1:10" x14ac:dyDescent="0.25">
      <c r="A142" s="1">
        <v>44252</v>
      </c>
      <c r="B142" t="s">
        <v>19</v>
      </c>
      <c r="C142" t="s">
        <v>20</v>
      </c>
      <c r="D142" t="s">
        <v>13</v>
      </c>
      <c r="E142" t="s">
        <v>8</v>
      </c>
      <c r="F142">
        <v>30</v>
      </c>
      <c r="G142">
        <v>2.1800000000000002</v>
      </c>
      <c r="H142">
        <f>Sales_Data[[#This Row],[Quantity]]*Sales_Data[[#This Row],[UnitPrice]]</f>
        <v>65.400000000000006</v>
      </c>
      <c r="I142">
        <v>60.168000000000006</v>
      </c>
      <c r="J142" s="2"/>
    </row>
    <row r="143" spans="1:10" x14ac:dyDescent="0.25">
      <c r="A143" s="1">
        <v>44255</v>
      </c>
      <c r="B143" t="s">
        <v>19</v>
      </c>
      <c r="C143" t="s">
        <v>20</v>
      </c>
      <c r="D143" t="s">
        <v>13</v>
      </c>
      <c r="E143" t="s">
        <v>14</v>
      </c>
      <c r="F143">
        <v>232</v>
      </c>
      <c r="G143">
        <v>1.8699999999999999</v>
      </c>
      <c r="H143">
        <f>Sales_Data[[#This Row],[Quantity]]*Sales_Data[[#This Row],[UnitPrice]]</f>
        <v>433.84</v>
      </c>
      <c r="I143">
        <v>420.82479999999998</v>
      </c>
      <c r="J143" s="2"/>
    </row>
    <row r="144" spans="1:10" x14ac:dyDescent="0.25">
      <c r="A144" s="1">
        <v>44257</v>
      </c>
      <c r="B144" t="s">
        <v>6</v>
      </c>
      <c r="C144" t="s">
        <v>18</v>
      </c>
      <c r="D144" t="s">
        <v>9</v>
      </c>
      <c r="E144" t="s">
        <v>11</v>
      </c>
      <c r="F144">
        <v>68</v>
      </c>
      <c r="G144">
        <v>1.8699999999999999</v>
      </c>
      <c r="H144">
        <f>Sales_Data[[#This Row],[Quantity]]*Sales_Data[[#This Row],[UnitPrice]]</f>
        <v>127.16</v>
      </c>
      <c r="I144">
        <v>115.71559999999999</v>
      </c>
      <c r="J144" s="2"/>
    </row>
    <row r="145" spans="1:10" x14ac:dyDescent="0.25">
      <c r="A145" s="1">
        <v>44260</v>
      </c>
      <c r="B145" t="s">
        <v>6</v>
      </c>
      <c r="C145" t="s">
        <v>18</v>
      </c>
      <c r="D145" t="s">
        <v>13</v>
      </c>
      <c r="E145" t="s">
        <v>15</v>
      </c>
      <c r="F145">
        <v>97</v>
      </c>
      <c r="G145">
        <v>2.8400000000000003</v>
      </c>
      <c r="H145">
        <f>Sales_Data[[#This Row],[Quantity]]*Sales_Data[[#This Row],[UnitPrice]]</f>
        <v>275.48</v>
      </c>
      <c r="I145">
        <v>242.42240000000001</v>
      </c>
      <c r="J145" s="2"/>
    </row>
    <row r="146" spans="1:10" x14ac:dyDescent="0.25">
      <c r="A146" s="1">
        <v>44263</v>
      </c>
      <c r="B146" t="s">
        <v>19</v>
      </c>
      <c r="C146" t="s">
        <v>21</v>
      </c>
      <c r="D146" t="s">
        <v>9</v>
      </c>
      <c r="E146" t="s">
        <v>11</v>
      </c>
      <c r="F146">
        <v>86</v>
      </c>
      <c r="G146">
        <v>1.8699999999999999</v>
      </c>
      <c r="H146">
        <f>Sales_Data[[#This Row],[Quantity]]*Sales_Data[[#This Row],[UnitPrice]]</f>
        <v>160.82</v>
      </c>
      <c r="I146">
        <v>135.08879999999999</v>
      </c>
      <c r="J146" s="2"/>
    </row>
    <row r="147" spans="1:10" x14ac:dyDescent="0.25">
      <c r="A147" s="1">
        <v>44266</v>
      </c>
      <c r="B147" t="s">
        <v>19</v>
      </c>
      <c r="C147" t="s">
        <v>21</v>
      </c>
      <c r="D147" t="s">
        <v>16</v>
      </c>
      <c r="E147" t="s">
        <v>17</v>
      </c>
      <c r="F147">
        <v>41</v>
      </c>
      <c r="G147">
        <v>1.68</v>
      </c>
      <c r="H147">
        <f>Sales_Data[[#This Row],[Quantity]]*Sales_Data[[#This Row],[UnitPrice]]</f>
        <v>68.88</v>
      </c>
      <c r="I147">
        <v>63.369599999999998</v>
      </c>
      <c r="J147" s="2"/>
    </row>
    <row r="148" spans="1:10" x14ac:dyDescent="0.25">
      <c r="A148" s="1">
        <v>44269</v>
      </c>
      <c r="B148" t="s">
        <v>6</v>
      </c>
      <c r="C148" t="s">
        <v>7</v>
      </c>
      <c r="D148" t="s">
        <v>9</v>
      </c>
      <c r="E148" t="s">
        <v>12</v>
      </c>
      <c r="F148">
        <v>93</v>
      </c>
      <c r="G148">
        <v>1.7700000000000002</v>
      </c>
      <c r="H148">
        <f>Sales_Data[[#This Row],[Quantity]]*Sales_Data[[#This Row],[UnitPrice]]</f>
        <v>164.61</v>
      </c>
      <c r="I148">
        <v>149.79510000000002</v>
      </c>
      <c r="J148" s="2"/>
    </row>
    <row r="149" spans="1:10" x14ac:dyDescent="0.25">
      <c r="A149" s="1">
        <v>44272</v>
      </c>
      <c r="B149" t="s">
        <v>6</v>
      </c>
      <c r="C149" t="s">
        <v>7</v>
      </c>
      <c r="D149" t="s">
        <v>16</v>
      </c>
      <c r="E149" t="s">
        <v>17</v>
      </c>
      <c r="F149">
        <v>47</v>
      </c>
      <c r="G149">
        <v>1.68</v>
      </c>
      <c r="H149">
        <f>Sales_Data[[#This Row],[Quantity]]*Sales_Data[[#This Row],[UnitPrice]]</f>
        <v>78.959999999999994</v>
      </c>
      <c r="I149">
        <v>75.012</v>
      </c>
      <c r="J149" s="2"/>
    </row>
    <row r="150" spans="1:10" x14ac:dyDescent="0.25">
      <c r="A150" s="1">
        <v>44275</v>
      </c>
      <c r="B150" t="s">
        <v>19</v>
      </c>
      <c r="C150" t="s">
        <v>20</v>
      </c>
      <c r="D150" t="s">
        <v>9</v>
      </c>
      <c r="E150" t="s">
        <v>12</v>
      </c>
      <c r="F150">
        <v>103</v>
      </c>
      <c r="G150">
        <v>1.77</v>
      </c>
      <c r="H150">
        <f>Sales_Data[[#This Row],[Quantity]]*Sales_Data[[#This Row],[UnitPrice]]</f>
        <v>182.31</v>
      </c>
      <c r="I150">
        <v>164.07900000000001</v>
      </c>
      <c r="J150" s="2"/>
    </row>
    <row r="151" spans="1:10" x14ac:dyDescent="0.25">
      <c r="A151" s="1">
        <v>44278</v>
      </c>
      <c r="B151" t="s">
        <v>19</v>
      </c>
      <c r="C151" t="s">
        <v>20</v>
      </c>
      <c r="D151" t="s">
        <v>16</v>
      </c>
      <c r="E151" t="s">
        <v>17</v>
      </c>
      <c r="F151">
        <v>33</v>
      </c>
      <c r="G151">
        <v>1.68</v>
      </c>
      <c r="H151">
        <f>Sales_Data[[#This Row],[Quantity]]*Sales_Data[[#This Row],[UnitPrice]]</f>
        <v>55.44</v>
      </c>
      <c r="I151">
        <v>51.004799999999996</v>
      </c>
      <c r="J151" s="2"/>
    </row>
    <row r="152" spans="1:10" x14ac:dyDescent="0.25">
      <c r="A152" s="1">
        <v>44281</v>
      </c>
      <c r="B152" t="s">
        <v>6</v>
      </c>
      <c r="C152" t="s">
        <v>18</v>
      </c>
      <c r="D152" t="s">
        <v>9</v>
      </c>
      <c r="E152" t="s">
        <v>11</v>
      </c>
      <c r="F152">
        <v>57</v>
      </c>
      <c r="G152">
        <v>1.87</v>
      </c>
      <c r="H152">
        <f>Sales_Data[[#This Row],[Quantity]]*Sales_Data[[#This Row],[UnitPrice]]</f>
        <v>106.59</v>
      </c>
      <c r="I152">
        <v>100.19460000000001</v>
      </c>
      <c r="J152" s="2"/>
    </row>
    <row r="153" spans="1:10" x14ac:dyDescent="0.25">
      <c r="A153" s="1">
        <v>44284</v>
      </c>
      <c r="B153" t="s">
        <v>6</v>
      </c>
      <c r="C153" t="s">
        <v>18</v>
      </c>
      <c r="D153" t="s">
        <v>13</v>
      </c>
      <c r="E153" t="s">
        <v>15</v>
      </c>
      <c r="F153">
        <v>65</v>
      </c>
      <c r="G153">
        <v>2.84</v>
      </c>
      <c r="H153">
        <f>Sales_Data[[#This Row],[Quantity]]*Sales_Data[[#This Row],[UnitPrice]]</f>
        <v>184.6</v>
      </c>
      <c r="I153">
        <v>175.37</v>
      </c>
      <c r="J153" s="2"/>
    </row>
    <row r="154" spans="1:10" x14ac:dyDescent="0.25">
      <c r="A154" s="1">
        <v>44287</v>
      </c>
      <c r="B154" t="s">
        <v>19</v>
      </c>
      <c r="C154" t="s">
        <v>21</v>
      </c>
      <c r="D154" t="s">
        <v>9</v>
      </c>
      <c r="E154" t="s">
        <v>12</v>
      </c>
      <c r="F154">
        <v>118</v>
      </c>
      <c r="G154">
        <v>1.77</v>
      </c>
      <c r="H154">
        <f>Sales_Data[[#This Row],[Quantity]]*Sales_Data[[#This Row],[UnitPrice]]</f>
        <v>208.86</v>
      </c>
      <c r="I154">
        <v>194.2398</v>
      </c>
      <c r="J154" s="2"/>
    </row>
    <row r="155" spans="1:10" x14ac:dyDescent="0.25">
      <c r="A155" s="1">
        <v>44290</v>
      </c>
      <c r="B155" t="s">
        <v>6</v>
      </c>
      <c r="C155" t="s">
        <v>7</v>
      </c>
      <c r="D155" t="s">
        <v>13</v>
      </c>
      <c r="E155" t="s">
        <v>8</v>
      </c>
      <c r="F155">
        <v>36</v>
      </c>
      <c r="G155">
        <v>2.1800000000000002</v>
      </c>
      <c r="H155">
        <f>Sales_Data[[#This Row],[Quantity]]*Sales_Data[[#This Row],[UnitPrice]]</f>
        <v>78.48</v>
      </c>
      <c r="I155">
        <v>72.986400000000003</v>
      </c>
      <c r="J155" s="2"/>
    </row>
    <row r="156" spans="1:10" x14ac:dyDescent="0.25">
      <c r="A156" s="1">
        <v>44293</v>
      </c>
      <c r="B156" t="s">
        <v>6</v>
      </c>
      <c r="C156" t="s">
        <v>7</v>
      </c>
      <c r="D156" t="s">
        <v>13</v>
      </c>
      <c r="E156" t="s">
        <v>15</v>
      </c>
      <c r="F156">
        <v>123</v>
      </c>
      <c r="G156">
        <v>2.84</v>
      </c>
      <c r="H156">
        <f>Sales_Data[[#This Row],[Quantity]]*Sales_Data[[#This Row],[UnitPrice]]</f>
        <v>349.32</v>
      </c>
      <c r="I156">
        <v>345.82679999999999</v>
      </c>
      <c r="J156" s="2"/>
    </row>
    <row r="157" spans="1:10" x14ac:dyDescent="0.25">
      <c r="A157" s="1">
        <v>44296</v>
      </c>
      <c r="B157" t="s">
        <v>19</v>
      </c>
      <c r="C157" t="s">
        <v>20</v>
      </c>
      <c r="D157" t="s">
        <v>9</v>
      </c>
      <c r="E157" t="s">
        <v>12</v>
      </c>
      <c r="F157">
        <v>90</v>
      </c>
      <c r="G157">
        <v>1.77</v>
      </c>
      <c r="H157">
        <f>Sales_Data[[#This Row],[Quantity]]*Sales_Data[[#This Row],[UnitPrice]]</f>
        <v>159.30000000000001</v>
      </c>
      <c r="I157">
        <v>154.52100000000002</v>
      </c>
      <c r="J157" s="2"/>
    </row>
    <row r="158" spans="1:10" x14ac:dyDescent="0.25">
      <c r="A158" s="1">
        <v>44299</v>
      </c>
      <c r="B158" t="s">
        <v>19</v>
      </c>
      <c r="C158" t="s">
        <v>20</v>
      </c>
      <c r="D158" t="s">
        <v>22</v>
      </c>
      <c r="E158" t="s">
        <v>23</v>
      </c>
      <c r="F158">
        <v>21</v>
      </c>
      <c r="G158">
        <v>3.49</v>
      </c>
      <c r="H158">
        <f>Sales_Data[[#This Row],[Quantity]]*Sales_Data[[#This Row],[UnitPrice]]</f>
        <v>73.290000000000006</v>
      </c>
      <c r="I158">
        <v>72.557100000000005</v>
      </c>
      <c r="J158" s="2"/>
    </row>
    <row r="159" spans="1:10" x14ac:dyDescent="0.25">
      <c r="A159" s="1">
        <v>44302</v>
      </c>
      <c r="B159" t="s">
        <v>6</v>
      </c>
      <c r="C159" t="s">
        <v>18</v>
      </c>
      <c r="D159" t="s">
        <v>9</v>
      </c>
      <c r="E159" t="s">
        <v>12</v>
      </c>
      <c r="F159">
        <v>48</v>
      </c>
      <c r="G159">
        <v>1.7699999999999998</v>
      </c>
      <c r="H159">
        <f>Sales_Data[[#This Row],[Quantity]]*Sales_Data[[#This Row],[UnitPrice]]</f>
        <v>84.96</v>
      </c>
      <c r="I159">
        <v>74.764799999999994</v>
      </c>
      <c r="J159" s="2"/>
    </row>
    <row r="160" spans="1:10" x14ac:dyDescent="0.25">
      <c r="A160" s="1">
        <v>44305</v>
      </c>
      <c r="B160" t="s">
        <v>6</v>
      </c>
      <c r="C160" t="s">
        <v>18</v>
      </c>
      <c r="D160" t="s">
        <v>16</v>
      </c>
      <c r="E160" t="s">
        <v>17</v>
      </c>
      <c r="F160">
        <v>24</v>
      </c>
      <c r="G160">
        <v>1.68</v>
      </c>
      <c r="H160">
        <f>Sales_Data[[#This Row],[Quantity]]*Sales_Data[[#This Row],[UnitPrice]]</f>
        <v>40.32</v>
      </c>
      <c r="I160">
        <v>33.8688</v>
      </c>
      <c r="J160" s="2"/>
    </row>
    <row r="161" spans="1:10" x14ac:dyDescent="0.25">
      <c r="A161" s="1">
        <v>44308</v>
      </c>
      <c r="B161" t="s">
        <v>19</v>
      </c>
      <c r="C161" t="s">
        <v>21</v>
      </c>
      <c r="D161" t="s">
        <v>13</v>
      </c>
      <c r="E161" t="s">
        <v>14</v>
      </c>
      <c r="F161">
        <v>67</v>
      </c>
      <c r="G161">
        <v>1.87</v>
      </c>
      <c r="H161">
        <f>Sales_Data[[#This Row],[Quantity]]*Sales_Data[[#This Row],[UnitPrice]]</f>
        <v>125.29</v>
      </c>
      <c r="I161">
        <v>105.2436</v>
      </c>
      <c r="J161" s="2"/>
    </row>
    <row r="162" spans="1:10" x14ac:dyDescent="0.25">
      <c r="A162" s="1">
        <v>44311</v>
      </c>
      <c r="B162" t="s">
        <v>6</v>
      </c>
      <c r="C162" t="s">
        <v>7</v>
      </c>
      <c r="D162" t="s">
        <v>9</v>
      </c>
      <c r="E162" t="s">
        <v>11</v>
      </c>
      <c r="F162">
        <v>27</v>
      </c>
      <c r="G162">
        <v>1.87</v>
      </c>
      <c r="H162">
        <f>Sales_Data[[#This Row],[Quantity]]*Sales_Data[[#This Row],[UnitPrice]]</f>
        <v>50.49</v>
      </c>
      <c r="I162">
        <v>42.916499999999999</v>
      </c>
      <c r="J162" s="2"/>
    </row>
    <row r="163" spans="1:10" x14ac:dyDescent="0.25">
      <c r="A163" s="1">
        <v>44314</v>
      </c>
      <c r="B163" t="s">
        <v>6</v>
      </c>
      <c r="C163" t="s">
        <v>7</v>
      </c>
      <c r="D163" t="s">
        <v>13</v>
      </c>
      <c r="E163" t="s">
        <v>15</v>
      </c>
      <c r="F163">
        <v>129</v>
      </c>
      <c r="G163">
        <v>2.8400000000000003</v>
      </c>
      <c r="H163">
        <f>Sales_Data[[#This Row],[Quantity]]*Sales_Data[[#This Row],[UnitPrice]]</f>
        <v>366.36</v>
      </c>
      <c r="I163">
        <v>307.74240000000003</v>
      </c>
      <c r="J163" s="2"/>
    </row>
    <row r="164" spans="1:10" x14ac:dyDescent="0.25">
      <c r="A164" s="1">
        <v>44317</v>
      </c>
      <c r="B164" t="s">
        <v>19</v>
      </c>
      <c r="C164" t="s">
        <v>20</v>
      </c>
      <c r="D164" t="s">
        <v>13</v>
      </c>
      <c r="E164" t="s">
        <v>8</v>
      </c>
      <c r="F164">
        <v>77</v>
      </c>
      <c r="G164">
        <v>2.1800000000000002</v>
      </c>
      <c r="H164">
        <f>Sales_Data[[#This Row],[Quantity]]*Sales_Data[[#This Row],[UnitPrice]]</f>
        <v>167.86</v>
      </c>
      <c r="I164">
        <v>159.46700000000001</v>
      </c>
      <c r="J164" s="2"/>
    </row>
    <row r="165" spans="1:10" x14ac:dyDescent="0.25">
      <c r="A165" s="1">
        <v>44320</v>
      </c>
      <c r="B165" t="s">
        <v>19</v>
      </c>
      <c r="C165" t="s">
        <v>20</v>
      </c>
      <c r="D165" t="s">
        <v>13</v>
      </c>
      <c r="E165" t="s">
        <v>14</v>
      </c>
      <c r="F165">
        <v>58</v>
      </c>
      <c r="G165">
        <v>1.8699999999999999</v>
      </c>
      <c r="H165">
        <f>Sales_Data[[#This Row],[Quantity]]*Sales_Data[[#This Row],[UnitPrice]]</f>
        <v>108.46</v>
      </c>
      <c r="I165">
        <v>107.3754</v>
      </c>
      <c r="J165" s="2"/>
    </row>
    <row r="166" spans="1:10" x14ac:dyDescent="0.25">
      <c r="A166" s="1">
        <v>44323</v>
      </c>
      <c r="B166" t="s">
        <v>6</v>
      </c>
      <c r="C166" t="s">
        <v>18</v>
      </c>
      <c r="D166" t="s">
        <v>9</v>
      </c>
      <c r="E166" t="s">
        <v>11</v>
      </c>
      <c r="F166">
        <v>47</v>
      </c>
      <c r="G166">
        <v>1.87</v>
      </c>
      <c r="H166">
        <f>Sales_Data[[#This Row],[Quantity]]*Sales_Data[[#This Row],[UnitPrice]]</f>
        <v>87.89</v>
      </c>
      <c r="I166">
        <v>75.585399999999993</v>
      </c>
      <c r="J166" s="2"/>
    </row>
    <row r="167" spans="1:10" x14ac:dyDescent="0.25">
      <c r="A167" s="1">
        <v>44326</v>
      </c>
      <c r="B167" t="s">
        <v>6</v>
      </c>
      <c r="C167" t="s">
        <v>18</v>
      </c>
      <c r="D167" t="s">
        <v>13</v>
      </c>
      <c r="E167" t="s">
        <v>15</v>
      </c>
      <c r="F167">
        <v>33</v>
      </c>
      <c r="G167">
        <v>2.84</v>
      </c>
      <c r="H167">
        <f>Sales_Data[[#This Row],[Quantity]]*Sales_Data[[#This Row],[UnitPrice]]</f>
        <v>93.72</v>
      </c>
      <c r="I167">
        <v>86.222399999999993</v>
      </c>
      <c r="J167" s="2"/>
    </row>
    <row r="168" spans="1:10" x14ac:dyDescent="0.25">
      <c r="A168" s="1">
        <v>44329</v>
      </c>
      <c r="B168" t="s">
        <v>19</v>
      </c>
      <c r="C168" t="s">
        <v>21</v>
      </c>
      <c r="D168" t="s">
        <v>13</v>
      </c>
      <c r="E168" t="s">
        <v>14</v>
      </c>
      <c r="F168">
        <v>82</v>
      </c>
      <c r="G168">
        <v>1.87</v>
      </c>
      <c r="H168">
        <f>Sales_Data[[#This Row],[Quantity]]*Sales_Data[[#This Row],[UnitPrice]]</f>
        <v>153.34</v>
      </c>
      <c r="I168">
        <v>148.7398</v>
      </c>
      <c r="J168" s="2"/>
    </row>
    <row r="169" spans="1:10" x14ac:dyDescent="0.25">
      <c r="A169" s="1">
        <v>44332</v>
      </c>
      <c r="B169" t="s">
        <v>6</v>
      </c>
      <c r="C169" t="s">
        <v>7</v>
      </c>
      <c r="D169" t="s">
        <v>9</v>
      </c>
      <c r="E169" t="s">
        <v>12</v>
      </c>
      <c r="F169">
        <v>58</v>
      </c>
      <c r="G169">
        <v>1.77</v>
      </c>
      <c r="H169">
        <f>Sales_Data[[#This Row],[Quantity]]*Sales_Data[[#This Row],[UnitPrice]]</f>
        <v>102.66</v>
      </c>
      <c r="I169">
        <v>85.207799999999992</v>
      </c>
      <c r="J169" s="2"/>
    </row>
    <row r="170" spans="1:10" x14ac:dyDescent="0.25">
      <c r="A170" s="1">
        <v>44335</v>
      </c>
      <c r="B170" t="s">
        <v>6</v>
      </c>
      <c r="C170" t="s">
        <v>7</v>
      </c>
      <c r="D170" t="s">
        <v>16</v>
      </c>
      <c r="E170" t="s">
        <v>24</v>
      </c>
      <c r="F170">
        <v>30</v>
      </c>
      <c r="G170">
        <v>3.15</v>
      </c>
      <c r="H170">
        <f>Sales_Data[[#This Row],[Quantity]]*Sales_Data[[#This Row],[UnitPrice]]</f>
        <v>94.5</v>
      </c>
      <c r="I170">
        <v>85.05</v>
      </c>
      <c r="J170" s="2"/>
    </row>
    <row r="171" spans="1:10" x14ac:dyDescent="0.25">
      <c r="A171" s="1">
        <v>44338</v>
      </c>
      <c r="B171" t="s">
        <v>19</v>
      </c>
      <c r="C171" t="s">
        <v>20</v>
      </c>
      <c r="D171" t="s">
        <v>13</v>
      </c>
      <c r="E171" t="s">
        <v>14</v>
      </c>
      <c r="F171">
        <v>43</v>
      </c>
      <c r="G171">
        <v>1.8699999999999999</v>
      </c>
      <c r="H171">
        <f>Sales_Data[[#This Row],[Quantity]]*Sales_Data[[#This Row],[UnitPrice]]</f>
        <v>80.41</v>
      </c>
      <c r="I171">
        <v>76.389499999999998</v>
      </c>
      <c r="J171" s="2"/>
    </row>
    <row r="172" spans="1:10" x14ac:dyDescent="0.25">
      <c r="A172" s="1">
        <v>44341</v>
      </c>
      <c r="B172" t="s">
        <v>6</v>
      </c>
      <c r="C172" t="s">
        <v>18</v>
      </c>
      <c r="D172" t="s">
        <v>9</v>
      </c>
      <c r="E172" t="s">
        <v>12</v>
      </c>
      <c r="F172">
        <v>84</v>
      </c>
      <c r="G172">
        <v>1.77</v>
      </c>
      <c r="H172">
        <f>Sales_Data[[#This Row],[Quantity]]*Sales_Data[[#This Row],[UnitPrice]]</f>
        <v>148.68</v>
      </c>
      <c r="I172">
        <v>130.83840000000001</v>
      </c>
      <c r="J172" s="2"/>
    </row>
    <row r="173" spans="1:10" x14ac:dyDescent="0.25">
      <c r="A173" s="1">
        <v>44344</v>
      </c>
      <c r="B173" t="s">
        <v>19</v>
      </c>
      <c r="C173" t="s">
        <v>21</v>
      </c>
      <c r="D173" t="s">
        <v>13</v>
      </c>
      <c r="E173" t="s">
        <v>8</v>
      </c>
      <c r="F173">
        <v>36</v>
      </c>
      <c r="G173">
        <v>2.1800000000000002</v>
      </c>
      <c r="H173">
        <f>Sales_Data[[#This Row],[Quantity]]*Sales_Data[[#This Row],[UnitPrice]]</f>
        <v>78.48</v>
      </c>
      <c r="I173">
        <v>65.923200000000008</v>
      </c>
      <c r="J173" s="2"/>
    </row>
    <row r="174" spans="1:10" x14ac:dyDescent="0.25">
      <c r="A174" s="1">
        <v>44347</v>
      </c>
      <c r="B174" t="s">
        <v>19</v>
      </c>
      <c r="C174" t="s">
        <v>21</v>
      </c>
      <c r="D174" t="s">
        <v>13</v>
      </c>
      <c r="E174" t="s">
        <v>15</v>
      </c>
      <c r="F174">
        <v>44</v>
      </c>
      <c r="G174">
        <v>2.84</v>
      </c>
      <c r="H174">
        <f>Sales_Data[[#This Row],[Quantity]]*Sales_Data[[#This Row],[UnitPrice]]</f>
        <v>124.96</v>
      </c>
      <c r="I174">
        <v>118.71199999999999</v>
      </c>
      <c r="J174" s="2"/>
    </row>
    <row r="175" spans="1:10" x14ac:dyDescent="0.25">
      <c r="A175" s="1">
        <v>44350</v>
      </c>
      <c r="B175" t="s">
        <v>6</v>
      </c>
      <c r="C175" t="s">
        <v>7</v>
      </c>
      <c r="D175" t="s">
        <v>9</v>
      </c>
      <c r="E175" t="s">
        <v>11</v>
      </c>
      <c r="F175">
        <v>27</v>
      </c>
      <c r="G175">
        <v>1.87</v>
      </c>
      <c r="H175">
        <f>Sales_Data[[#This Row],[Quantity]]*Sales_Data[[#This Row],[UnitPrice]]</f>
        <v>50.49</v>
      </c>
      <c r="I175">
        <v>44.936100000000003</v>
      </c>
      <c r="J175" s="2"/>
    </row>
    <row r="176" spans="1:10" x14ac:dyDescent="0.25">
      <c r="A176" s="1">
        <v>44353</v>
      </c>
      <c r="B176" t="s">
        <v>6</v>
      </c>
      <c r="C176" t="s">
        <v>7</v>
      </c>
      <c r="D176" t="s">
        <v>13</v>
      </c>
      <c r="E176" t="s">
        <v>15</v>
      </c>
      <c r="F176">
        <v>120</v>
      </c>
      <c r="G176">
        <v>2.8400000000000003</v>
      </c>
      <c r="H176">
        <f>Sales_Data[[#This Row],[Quantity]]*Sales_Data[[#This Row],[UnitPrice]]</f>
        <v>340.8</v>
      </c>
      <c r="I176">
        <v>293.08800000000002</v>
      </c>
      <c r="J176" s="2"/>
    </row>
    <row r="177" spans="1:10" x14ac:dyDescent="0.25">
      <c r="A177" s="1">
        <v>44356</v>
      </c>
      <c r="B177" t="s">
        <v>6</v>
      </c>
      <c r="C177" t="s">
        <v>7</v>
      </c>
      <c r="D177" t="s">
        <v>22</v>
      </c>
      <c r="E177" t="s">
        <v>23</v>
      </c>
      <c r="F177">
        <v>26</v>
      </c>
      <c r="G177">
        <v>3.4899999999999998</v>
      </c>
      <c r="H177">
        <f>Sales_Data[[#This Row],[Quantity]]*Sales_Data[[#This Row],[UnitPrice]]</f>
        <v>90.74</v>
      </c>
      <c r="I177">
        <v>78.0364</v>
      </c>
      <c r="J177" s="2"/>
    </row>
    <row r="178" spans="1:10" x14ac:dyDescent="0.25">
      <c r="A178" s="1">
        <v>44359</v>
      </c>
      <c r="B178" t="s">
        <v>19</v>
      </c>
      <c r="C178" t="s">
        <v>20</v>
      </c>
      <c r="D178" t="s">
        <v>9</v>
      </c>
      <c r="E178" t="s">
        <v>12</v>
      </c>
      <c r="F178">
        <v>73</v>
      </c>
      <c r="G178">
        <v>1.77</v>
      </c>
      <c r="H178">
        <f>Sales_Data[[#This Row],[Quantity]]*Sales_Data[[#This Row],[UnitPrice]]</f>
        <v>129.21</v>
      </c>
      <c r="I178">
        <v>116.289</v>
      </c>
      <c r="J178" s="2"/>
    </row>
    <row r="179" spans="1:10" x14ac:dyDescent="0.25">
      <c r="A179" s="1">
        <v>44362</v>
      </c>
      <c r="B179" t="s">
        <v>6</v>
      </c>
      <c r="C179" t="s">
        <v>18</v>
      </c>
      <c r="D179" t="s">
        <v>9</v>
      </c>
      <c r="E179" t="s">
        <v>11</v>
      </c>
      <c r="F179">
        <v>38</v>
      </c>
      <c r="G179">
        <v>1.87</v>
      </c>
      <c r="H179">
        <f>Sales_Data[[#This Row],[Quantity]]*Sales_Data[[#This Row],[UnitPrice]]</f>
        <v>71.06</v>
      </c>
      <c r="I179">
        <v>67.507000000000005</v>
      </c>
      <c r="J179" s="2"/>
    </row>
    <row r="180" spans="1:10" x14ac:dyDescent="0.25">
      <c r="A180" s="1">
        <v>44365</v>
      </c>
      <c r="B180" t="s">
        <v>6</v>
      </c>
      <c r="C180" t="s">
        <v>18</v>
      </c>
      <c r="D180" t="s">
        <v>13</v>
      </c>
      <c r="E180" t="s">
        <v>15</v>
      </c>
      <c r="F180">
        <v>40</v>
      </c>
      <c r="G180">
        <v>2.84</v>
      </c>
      <c r="H180">
        <f>Sales_Data[[#This Row],[Quantity]]*Sales_Data[[#This Row],[UnitPrice]]</f>
        <v>113.6</v>
      </c>
      <c r="I180">
        <v>102.24</v>
      </c>
      <c r="J180" s="2"/>
    </row>
    <row r="181" spans="1:10" x14ac:dyDescent="0.25">
      <c r="A181" s="1">
        <v>44368</v>
      </c>
      <c r="B181" t="s">
        <v>19</v>
      </c>
      <c r="C181" t="s">
        <v>21</v>
      </c>
      <c r="D181" t="s">
        <v>9</v>
      </c>
      <c r="E181" t="s">
        <v>12</v>
      </c>
      <c r="F181">
        <v>41</v>
      </c>
      <c r="G181">
        <v>1.7699999999999998</v>
      </c>
      <c r="H181">
        <f>Sales_Data[[#This Row],[Quantity]]*Sales_Data[[#This Row],[UnitPrice]]</f>
        <v>72.569999999999993</v>
      </c>
      <c r="I181">
        <v>71.118599999999986</v>
      </c>
      <c r="J181" s="2"/>
    </row>
    <row r="182" spans="1:10" x14ac:dyDescent="0.25">
      <c r="A182" s="1">
        <v>44371</v>
      </c>
      <c r="B182" t="s">
        <v>6</v>
      </c>
      <c r="C182" t="s">
        <v>7</v>
      </c>
      <c r="D182" t="s">
        <v>9</v>
      </c>
      <c r="E182" t="s">
        <v>10</v>
      </c>
      <c r="F182">
        <v>27</v>
      </c>
      <c r="G182">
        <v>2.27</v>
      </c>
      <c r="H182">
        <f>Sales_Data[[#This Row],[Quantity]]*Sales_Data[[#This Row],[UnitPrice]]</f>
        <v>61.29</v>
      </c>
      <c r="I182">
        <v>60.677099999999996</v>
      </c>
      <c r="J182" s="2"/>
    </row>
    <row r="183" spans="1:10" x14ac:dyDescent="0.25">
      <c r="A183" s="1">
        <v>44374</v>
      </c>
      <c r="B183" t="s">
        <v>6</v>
      </c>
      <c r="C183" t="s">
        <v>7</v>
      </c>
      <c r="D183" t="s">
        <v>13</v>
      </c>
      <c r="E183" t="s">
        <v>14</v>
      </c>
      <c r="F183">
        <v>38</v>
      </c>
      <c r="G183">
        <v>1.87</v>
      </c>
      <c r="H183">
        <f>Sales_Data[[#This Row],[Quantity]]*Sales_Data[[#This Row],[UnitPrice]]</f>
        <v>71.06</v>
      </c>
      <c r="I183">
        <v>65.375200000000007</v>
      </c>
      <c r="J183" s="2"/>
    </row>
    <row r="184" spans="1:10" x14ac:dyDescent="0.25">
      <c r="A184" s="1">
        <v>44377</v>
      </c>
      <c r="B184" t="s">
        <v>6</v>
      </c>
      <c r="C184" t="s">
        <v>7</v>
      </c>
      <c r="D184" t="s">
        <v>22</v>
      </c>
      <c r="E184" t="s">
        <v>23</v>
      </c>
      <c r="F184">
        <v>34</v>
      </c>
      <c r="G184">
        <v>3.4899999999999998</v>
      </c>
      <c r="H184">
        <f>Sales_Data[[#This Row],[Quantity]]*Sales_Data[[#This Row],[UnitPrice]]</f>
        <v>118.66</v>
      </c>
      <c r="I184">
        <v>102.04759999999999</v>
      </c>
      <c r="J184" s="2"/>
    </row>
    <row r="185" spans="1:10" x14ac:dyDescent="0.25">
      <c r="A185" s="1">
        <v>44380</v>
      </c>
      <c r="B185" t="s">
        <v>19</v>
      </c>
      <c r="C185" t="s">
        <v>20</v>
      </c>
      <c r="D185" t="s">
        <v>9</v>
      </c>
      <c r="E185" t="s">
        <v>11</v>
      </c>
      <c r="F185">
        <v>65</v>
      </c>
      <c r="G185">
        <v>1.8699999999999999</v>
      </c>
      <c r="H185">
        <f>Sales_Data[[#This Row],[Quantity]]*Sales_Data[[#This Row],[UnitPrice]]</f>
        <v>121.55</v>
      </c>
      <c r="I185">
        <v>113.0415</v>
      </c>
      <c r="J185" s="2"/>
    </row>
    <row r="186" spans="1:10" x14ac:dyDescent="0.25">
      <c r="A186" s="1">
        <v>44383</v>
      </c>
      <c r="B186" t="s">
        <v>19</v>
      </c>
      <c r="C186" t="s">
        <v>20</v>
      </c>
      <c r="D186" t="s">
        <v>13</v>
      </c>
      <c r="E186" t="s">
        <v>15</v>
      </c>
      <c r="F186">
        <v>60</v>
      </c>
      <c r="G186">
        <v>2.8400000000000003</v>
      </c>
      <c r="H186">
        <f>Sales_Data[[#This Row],[Quantity]]*Sales_Data[[#This Row],[UnitPrice]]</f>
        <v>170.4</v>
      </c>
      <c r="I186">
        <v>141.43200000000002</v>
      </c>
      <c r="J186" s="2"/>
    </row>
    <row r="187" spans="1:10" x14ac:dyDescent="0.25">
      <c r="A187" s="1">
        <v>44386</v>
      </c>
      <c r="B187" t="s">
        <v>6</v>
      </c>
      <c r="C187" t="s">
        <v>18</v>
      </c>
      <c r="D187" t="s">
        <v>13</v>
      </c>
      <c r="E187" t="s">
        <v>8</v>
      </c>
      <c r="F187">
        <v>37</v>
      </c>
      <c r="G187">
        <v>2.1799999999999997</v>
      </c>
      <c r="H187">
        <f>Sales_Data[[#This Row],[Quantity]]*Sales_Data[[#This Row],[UnitPrice]]</f>
        <v>80.66</v>
      </c>
      <c r="I187">
        <v>70.980800000000002</v>
      </c>
      <c r="J187" s="2"/>
    </row>
    <row r="188" spans="1:10" x14ac:dyDescent="0.25">
      <c r="A188" s="1">
        <v>44389</v>
      </c>
      <c r="B188" t="s">
        <v>6</v>
      </c>
      <c r="C188" t="s">
        <v>18</v>
      </c>
      <c r="D188" t="s">
        <v>13</v>
      </c>
      <c r="E188" t="s">
        <v>14</v>
      </c>
      <c r="F188">
        <v>40</v>
      </c>
      <c r="G188">
        <v>1.8699999999999999</v>
      </c>
      <c r="H188">
        <f>Sales_Data[[#This Row],[Quantity]]*Sales_Data[[#This Row],[UnitPrice]]</f>
        <v>74.8</v>
      </c>
      <c r="I188">
        <v>69.563999999999993</v>
      </c>
      <c r="J188" s="2"/>
    </row>
    <row r="189" spans="1:10" x14ac:dyDescent="0.25">
      <c r="A189" s="1">
        <v>44392</v>
      </c>
      <c r="B189" t="s">
        <v>19</v>
      </c>
      <c r="C189" t="s">
        <v>21</v>
      </c>
      <c r="D189" t="s">
        <v>9</v>
      </c>
      <c r="E189" t="s">
        <v>11</v>
      </c>
      <c r="F189">
        <v>26</v>
      </c>
      <c r="G189">
        <v>1.8699999999999999</v>
      </c>
      <c r="H189">
        <f>Sales_Data[[#This Row],[Quantity]]*Sales_Data[[#This Row],[UnitPrice]]</f>
        <v>48.62</v>
      </c>
      <c r="I189">
        <v>44.244199999999999</v>
      </c>
      <c r="J189" s="2"/>
    </row>
    <row r="190" spans="1:10" x14ac:dyDescent="0.25">
      <c r="A190" s="1">
        <v>44395</v>
      </c>
      <c r="B190" t="s">
        <v>6</v>
      </c>
      <c r="C190" t="s">
        <v>7</v>
      </c>
      <c r="D190" t="s">
        <v>9</v>
      </c>
      <c r="E190" t="s">
        <v>10</v>
      </c>
      <c r="F190">
        <v>22</v>
      </c>
      <c r="G190">
        <v>2.27</v>
      </c>
      <c r="H190">
        <f>Sales_Data[[#This Row],[Quantity]]*Sales_Data[[#This Row],[UnitPrice]]</f>
        <v>49.94</v>
      </c>
      <c r="I190">
        <v>47.942399999999999</v>
      </c>
      <c r="J190" s="2"/>
    </row>
    <row r="191" spans="1:10" x14ac:dyDescent="0.25">
      <c r="A191" s="1">
        <v>44398</v>
      </c>
      <c r="B191" t="s">
        <v>6</v>
      </c>
      <c r="C191" t="s">
        <v>7</v>
      </c>
      <c r="D191" t="s">
        <v>13</v>
      </c>
      <c r="E191" t="s">
        <v>14</v>
      </c>
      <c r="F191">
        <v>32</v>
      </c>
      <c r="G191">
        <v>1.87</v>
      </c>
      <c r="H191">
        <f>Sales_Data[[#This Row],[Quantity]]*Sales_Data[[#This Row],[UnitPrice]]</f>
        <v>59.84</v>
      </c>
      <c r="I191">
        <v>51.462400000000002</v>
      </c>
      <c r="J191" s="2"/>
    </row>
    <row r="192" spans="1:10" x14ac:dyDescent="0.25">
      <c r="A192" s="1">
        <v>44401</v>
      </c>
      <c r="B192" t="s">
        <v>6</v>
      </c>
      <c r="C192" t="s">
        <v>7</v>
      </c>
      <c r="D192" t="s">
        <v>22</v>
      </c>
      <c r="E192" t="s">
        <v>23</v>
      </c>
      <c r="F192">
        <v>23</v>
      </c>
      <c r="G192">
        <v>3.4899999999999998</v>
      </c>
      <c r="H192">
        <f>Sales_Data[[#This Row],[Quantity]]*Sales_Data[[#This Row],[UnitPrice]]</f>
        <v>80.27</v>
      </c>
      <c r="I192">
        <v>79.467299999999994</v>
      </c>
      <c r="J192" s="2"/>
    </row>
    <row r="193" spans="1:10" x14ac:dyDescent="0.25">
      <c r="A193" s="1">
        <v>44404</v>
      </c>
      <c r="B193" t="s">
        <v>19</v>
      </c>
      <c r="C193" t="s">
        <v>20</v>
      </c>
      <c r="D193" t="s">
        <v>13</v>
      </c>
      <c r="E193" t="s">
        <v>8</v>
      </c>
      <c r="F193">
        <v>20</v>
      </c>
      <c r="G193">
        <v>2.1800000000000002</v>
      </c>
      <c r="H193">
        <f>Sales_Data[[#This Row],[Quantity]]*Sales_Data[[#This Row],[UnitPrice]]</f>
        <v>43.6</v>
      </c>
      <c r="I193">
        <v>38.804000000000002</v>
      </c>
      <c r="J193" s="2"/>
    </row>
    <row r="194" spans="1:10" x14ac:dyDescent="0.25">
      <c r="A194" s="1">
        <v>44407</v>
      </c>
      <c r="B194" t="s">
        <v>19</v>
      </c>
      <c r="C194" t="s">
        <v>20</v>
      </c>
      <c r="D194" t="s">
        <v>13</v>
      </c>
      <c r="E194" t="s">
        <v>14</v>
      </c>
      <c r="F194">
        <v>64</v>
      </c>
      <c r="G194">
        <v>1.87</v>
      </c>
      <c r="H194">
        <f>Sales_Data[[#This Row],[Quantity]]*Sales_Data[[#This Row],[UnitPrice]]</f>
        <v>119.68</v>
      </c>
      <c r="I194">
        <v>98.137600000000006</v>
      </c>
      <c r="J194" s="2"/>
    </row>
    <row r="195" spans="1:10" x14ac:dyDescent="0.25">
      <c r="A195" s="1">
        <v>44410</v>
      </c>
      <c r="B195" t="s">
        <v>6</v>
      </c>
      <c r="C195" t="s">
        <v>18</v>
      </c>
      <c r="D195" t="s">
        <v>9</v>
      </c>
      <c r="E195" t="s">
        <v>12</v>
      </c>
      <c r="F195">
        <v>71</v>
      </c>
      <c r="G195">
        <v>1.77</v>
      </c>
      <c r="H195">
        <f>Sales_Data[[#This Row],[Quantity]]*Sales_Data[[#This Row],[UnitPrice]]</f>
        <v>125.67</v>
      </c>
      <c r="I195">
        <v>118.1298</v>
      </c>
      <c r="J195" s="2"/>
    </row>
    <row r="196" spans="1:10" x14ac:dyDescent="0.25">
      <c r="A196" s="1">
        <v>44413</v>
      </c>
      <c r="B196" t="s">
        <v>19</v>
      </c>
      <c r="C196" t="s">
        <v>21</v>
      </c>
      <c r="D196" t="s">
        <v>13</v>
      </c>
      <c r="E196" t="s">
        <v>8</v>
      </c>
      <c r="F196">
        <v>90</v>
      </c>
      <c r="G196">
        <v>2.1799999999999997</v>
      </c>
      <c r="H196">
        <f>Sales_Data[[#This Row],[Quantity]]*Sales_Data[[#This Row],[UnitPrice]]</f>
        <v>196.2</v>
      </c>
      <c r="I196">
        <v>164.80799999999999</v>
      </c>
      <c r="J196" s="2"/>
    </row>
    <row r="197" spans="1:10" x14ac:dyDescent="0.25">
      <c r="A197" s="1">
        <v>44416</v>
      </c>
      <c r="B197" t="s">
        <v>19</v>
      </c>
      <c r="C197" t="s">
        <v>21</v>
      </c>
      <c r="D197" t="s">
        <v>13</v>
      </c>
      <c r="E197" t="s">
        <v>15</v>
      </c>
      <c r="F197">
        <v>38</v>
      </c>
      <c r="G197">
        <v>2.84</v>
      </c>
      <c r="H197">
        <f>Sales_Data[[#This Row],[Quantity]]*Sales_Data[[#This Row],[UnitPrice]]</f>
        <v>107.91999999999999</v>
      </c>
      <c r="I197">
        <v>104.68239999999999</v>
      </c>
      <c r="J197" s="2"/>
    </row>
    <row r="198" spans="1:10" x14ac:dyDescent="0.25">
      <c r="A198" s="1">
        <v>44419</v>
      </c>
      <c r="B198" t="s">
        <v>6</v>
      </c>
      <c r="C198" t="s">
        <v>7</v>
      </c>
      <c r="D198" t="s">
        <v>9</v>
      </c>
      <c r="E198" t="s">
        <v>12</v>
      </c>
      <c r="F198">
        <v>55</v>
      </c>
      <c r="G198">
        <v>1.7699999999999998</v>
      </c>
      <c r="H198">
        <f>Sales_Data[[#This Row],[Quantity]]*Sales_Data[[#This Row],[UnitPrice]]</f>
        <v>97.35</v>
      </c>
      <c r="I198">
        <v>84.694499999999991</v>
      </c>
      <c r="J198" s="2"/>
    </row>
    <row r="199" spans="1:10" x14ac:dyDescent="0.25">
      <c r="A199" s="1">
        <v>44422</v>
      </c>
      <c r="B199" t="s">
        <v>6</v>
      </c>
      <c r="C199" t="s">
        <v>7</v>
      </c>
      <c r="D199" t="s">
        <v>16</v>
      </c>
      <c r="E199" t="s">
        <v>24</v>
      </c>
      <c r="F199">
        <v>22</v>
      </c>
      <c r="G199">
        <v>3.15</v>
      </c>
      <c r="H199">
        <f>Sales_Data[[#This Row],[Quantity]]*Sales_Data[[#This Row],[UnitPrice]]</f>
        <v>69.3</v>
      </c>
      <c r="I199">
        <v>57.518999999999998</v>
      </c>
      <c r="J199" s="2"/>
    </row>
    <row r="200" spans="1:10" x14ac:dyDescent="0.25">
      <c r="A200" s="1">
        <v>44425</v>
      </c>
      <c r="B200" t="s">
        <v>19</v>
      </c>
      <c r="C200" t="s">
        <v>20</v>
      </c>
      <c r="D200" t="s">
        <v>9</v>
      </c>
      <c r="E200" t="s">
        <v>12</v>
      </c>
      <c r="F200">
        <v>34</v>
      </c>
      <c r="G200">
        <v>1.77</v>
      </c>
      <c r="H200">
        <f>Sales_Data[[#This Row],[Quantity]]*Sales_Data[[#This Row],[UnitPrice]]</f>
        <v>60.18</v>
      </c>
      <c r="I200">
        <v>49.3476</v>
      </c>
      <c r="J200" s="2"/>
    </row>
    <row r="201" spans="1:10" x14ac:dyDescent="0.25">
      <c r="A201" s="1">
        <v>44428</v>
      </c>
      <c r="B201" t="s">
        <v>6</v>
      </c>
      <c r="C201" t="s">
        <v>18</v>
      </c>
      <c r="D201" t="s">
        <v>9</v>
      </c>
      <c r="E201" t="s">
        <v>11</v>
      </c>
      <c r="F201">
        <v>39</v>
      </c>
      <c r="G201">
        <v>1.87</v>
      </c>
      <c r="H201">
        <f>Sales_Data[[#This Row],[Quantity]]*Sales_Data[[#This Row],[UnitPrice]]</f>
        <v>72.930000000000007</v>
      </c>
      <c r="I201">
        <v>71.471400000000003</v>
      </c>
      <c r="J201" s="2"/>
    </row>
    <row r="202" spans="1:10" x14ac:dyDescent="0.25">
      <c r="A202" s="1">
        <v>44431</v>
      </c>
      <c r="B202" t="s">
        <v>6</v>
      </c>
      <c r="C202" t="s">
        <v>18</v>
      </c>
      <c r="D202" t="s">
        <v>13</v>
      </c>
      <c r="E202" t="s">
        <v>15</v>
      </c>
      <c r="F202">
        <v>41</v>
      </c>
      <c r="G202">
        <v>2.84</v>
      </c>
      <c r="H202">
        <f>Sales_Data[[#This Row],[Quantity]]*Sales_Data[[#This Row],[UnitPrice]]</f>
        <v>116.44</v>
      </c>
      <c r="I202">
        <v>95.480800000000002</v>
      </c>
      <c r="J202" s="2"/>
    </row>
    <row r="203" spans="1:10" x14ac:dyDescent="0.25">
      <c r="A203" s="1">
        <v>44434</v>
      </c>
      <c r="B203" t="s">
        <v>19</v>
      </c>
      <c r="C203" t="s">
        <v>21</v>
      </c>
      <c r="D203" t="s">
        <v>9</v>
      </c>
      <c r="E203" t="s">
        <v>12</v>
      </c>
      <c r="F203">
        <v>41</v>
      </c>
      <c r="G203">
        <v>1.7699999999999998</v>
      </c>
      <c r="H203">
        <f>Sales_Data[[#This Row],[Quantity]]*Sales_Data[[#This Row],[UnitPrice]]</f>
        <v>72.569999999999993</v>
      </c>
      <c r="I203">
        <v>66.764399999999995</v>
      </c>
      <c r="J203" s="2"/>
    </row>
    <row r="204" spans="1:10" x14ac:dyDescent="0.25">
      <c r="A204" s="1">
        <v>44437</v>
      </c>
      <c r="B204" t="s">
        <v>6</v>
      </c>
      <c r="C204" t="s">
        <v>7</v>
      </c>
      <c r="D204" t="s">
        <v>13</v>
      </c>
      <c r="E204" t="s">
        <v>8</v>
      </c>
      <c r="F204">
        <v>136</v>
      </c>
      <c r="G204">
        <v>2.1800000000000002</v>
      </c>
      <c r="H204">
        <f>Sales_Data[[#This Row],[Quantity]]*Sales_Data[[#This Row],[UnitPrice]]</f>
        <v>296.48</v>
      </c>
      <c r="I204">
        <v>252.00800000000001</v>
      </c>
      <c r="J204" s="2"/>
    </row>
    <row r="205" spans="1:10" x14ac:dyDescent="0.25">
      <c r="A205" s="1">
        <v>44440</v>
      </c>
      <c r="B205" t="s">
        <v>6</v>
      </c>
      <c r="C205" t="s">
        <v>7</v>
      </c>
      <c r="D205" t="s">
        <v>9</v>
      </c>
      <c r="E205" t="s">
        <v>12</v>
      </c>
      <c r="F205">
        <v>25</v>
      </c>
      <c r="G205">
        <v>1.77</v>
      </c>
      <c r="H205">
        <f>Sales_Data[[#This Row],[Quantity]]*Sales_Data[[#This Row],[UnitPrice]]</f>
        <v>44.25</v>
      </c>
      <c r="I205">
        <v>38.497500000000002</v>
      </c>
      <c r="J205" s="2"/>
    </row>
    <row r="206" spans="1:10" x14ac:dyDescent="0.25">
      <c r="A206" s="1">
        <v>44443</v>
      </c>
      <c r="B206" t="s">
        <v>6</v>
      </c>
      <c r="C206" t="s">
        <v>7</v>
      </c>
      <c r="D206" t="s">
        <v>16</v>
      </c>
      <c r="E206" t="s">
        <v>24</v>
      </c>
      <c r="F206">
        <v>26</v>
      </c>
      <c r="G206">
        <v>3.1500000000000004</v>
      </c>
      <c r="H206">
        <f>Sales_Data[[#This Row],[Quantity]]*Sales_Data[[#This Row],[UnitPrice]]</f>
        <v>81.900000000000006</v>
      </c>
      <c r="I206">
        <v>70.433999999999997</v>
      </c>
      <c r="J206" s="2"/>
    </row>
    <row r="207" spans="1:10" x14ac:dyDescent="0.25">
      <c r="A207" s="1">
        <v>44446</v>
      </c>
      <c r="B207" t="s">
        <v>19</v>
      </c>
      <c r="C207" t="s">
        <v>20</v>
      </c>
      <c r="D207" t="s">
        <v>9</v>
      </c>
      <c r="E207" t="s">
        <v>11</v>
      </c>
      <c r="F207">
        <v>50</v>
      </c>
      <c r="G207">
        <v>1.87</v>
      </c>
      <c r="H207">
        <f>Sales_Data[[#This Row],[Quantity]]*Sales_Data[[#This Row],[UnitPrice]]</f>
        <v>93.5</v>
      </c>
      <c r="I207">
        <v>87.89</v>
      </c>
      <c r="J207" s="2"/>
    </row>
    <row r="208" spans="1:10" x14ac:dyDescent="0.25">
      <c r="A208" s="1">
        <v>44449</v>
      </c>
      <c r="B208" t="s">
        <v>19</v>
      </c>
      <c r="C208" t="s">
        <v>20</v>
      </c>
      <c r="D208" t="s">
        <v>13</v>
      </c>
      <c r="E208" t="s">
        <v>15</v>
      </c>
      <c r="F208">
        <v>79</v>
      </c>
      <c r="G208">
        <v>2.8400000000000003</v>
      </c>
      <c r="H208">
        <f>Sales_Data[[#This Row],[Quantity]]*Sales_Data[[#This Row],[UnitPrice]]</f>
        <v>224.36</v>
      </c>
      <c r="I208">
        <v>206.41120000000001</v>
      </c>
      <c r="J208" s="2"/>
    </row>
    <row r="209" spans="1:10" x14ac:dyDescent="0.25">
      <c r="A209" s="1">
        <v>44452</v>
      </c>
      <c r="B209" t="s">
        <v>6</v>
      </c>
      <c r="C209" t="s">
        <v>18</v>
      </c>
      <c r="D209" t="s">
        <v>9</v>
      </c>
      <c r="E209" t="s">
        <v>12</v>
      </c>
      <c r="F209">
        <v>30</v>
      </c>
      <c r="G209">
        <v>1.77</v>
      </c>
      <c r="H209">
        <f>Sales_Data[[#This Row],[Quantity]]*Sales_Data[[#This Row],[UnitPrice]]</f>
        <v>53.1</v>
      </c>
      <c r="I209">
        <v>46.728000000000002</v>
      </c>
      <c r="J209" s="2"/>
    </row>
    <row r="210" spans="1:10" x14ac:dyDescent="0.25">
      <c r="A210" s="1">
        <v>44455</v>
      </c>
      <c r="B210" t="s">
        <v>6</v>
      </c>
      <c r="C210" t="s">
        <v>18</v>
      </c>
      <c r="D210" t="s">
        <v>16</v>
      </c>
      <c r="E210" t="s">
        <v>17</v>
      </c>
      <c r="F210">
        <v>20</v>
      </c>
      <c r="G210">
        <v>1.6800000000000002</v>
      </c>
      <c r="H210">
        <f>Sales_Data[[#This Row],[Quantity]]*Sales_Data[[#This Row],[UnitPrice]]</f>
        <v>33.6</v>
      </c>
      <c r="I210">
        <v>32.928000000000004</v>
      </c>
      <c r="J210" s="2"/>
    </row>
    <row r="211" spans="1:10" x14ac:dyDescent="0.25">
      <c r="A211" s="1">
        <v>44458</v>
      </c>
      <c r="B211" t="s">
        <v>19</v>
      </c>
      <c r="C211" t="s">
        <v>21</v>
      </c>
      <c r="D211" t="s">
        <v>9</v>
      </c>
      <c r="E211" t="s">
        <v>12</v>
      </c>
      <c r="F211">
        <v>49</v>
      </c>
      <c r="G211">
        <v>1.77</v>
      </c>
      <c r="H211">
        <f>Sales_Data[[#This Row],[Quantity]]*Sales_Data[[#This Row],[UnitPrice]]</f>
        <v>86.73</v>
      </c>
      <c r="I211">
        <v>79.791600000000003</v>
      </c>
      <c r="J211" s="2"/>
    </row>
    <row r="212" spans="1:10" x14ac:dyDescent="0.25">
      <c r="A212" s="1">
        <v>44461</v>
      </c>
      <c r="B212" t="s">
        <v>6</v>
      </c>
      <c r="C212" t="s">
        <v>7</v>
      </c>
      <c r="D212" t="s">
        <v>13</v>
      </c>
      <c r="E212" t="s">
        <v>8</v>
      </c>
      <c r="F212">
        <v>40</v>
      </c>
      <c r="G212">
        <v>2.1800000000000002</v>
      </c>
      <c r="H212">
        <f>Sales_Data[[#This Row],[Quantity]]*Sales_Data[[#This Row],[UnitPrice]]</f>
        <v>87.2</v>
      </c>
      <c r="I212">
        <v>71.504000000000005</v>
      </c>
      <c r="J212" s="2"/>
    </row>
    <row r="213" spans="1:10" x14ac:dyDescent="0.25">
      <c r="A213" s="1">
        <v>44464</v>
      </c>
      <c r="B213" t="s">
        <v>6</v>
      </c>
      <c r="C213" t="s">
        <v>7</v>
      </c>
      <c r="D213" t="s">
        <v>9</v>
      </c>
      <c r="E213" t="s">
        <v>12</v>
      </c>
      <c r="F213">
        <v>31</v>
      </c>
      <c r="G213">
        <v>1.77</v>
      </c>
      <c r="H213">
        <f>Sales_Data[[#This Row],[Quantity]]*Sales_Data[[#This Row],[UnitPrice]]</f>
        <v>54.87</v>
      </c>
      <c r="I213">
        <v>54.321300000000001</v>
      </c>
      <c r="J213" s="2"/>
    </row>
    <row r="214" spans="1:10" x14ac:dyDescent="0.25">
      <c r="A214" s="1">
        <v>44467</v>
      </c>
      <c r="B214" t="s">
        <v>6</v>
      </c>
      <c r="C214" t="s">
        <v>7</v>
      </c>
      <c r="D214" t="s">
        <v>16</v>
      </c>
      <c r="E214" t="s">
        <v>24</v>
      </c>
      <c r="F214">
        <v>21</v>
      </c>
      <c r="G214">
        <v>3.1500000000000004</v>
      </c>
      <c r="H214">
        <f>Sales_Data[[#This Row],[Quantity]]*Sales_Data[[#This Row],[UnitPrice]]</f>
        <v>66.150000000000006</v>
      </c>
      <c r="I214">
        <v>56.889000000000003</v>
      </c>
      <c r="J214" s="2"/>
    </row>
    <row r="215" spans="1:10" x14ac:dyDescent="0.25">
      <c r="A215" s="1">
        <v>44470</v>
      </c>
      <c r="B215" t="s">
        <v>19</v>
      </c>
      <c r="C215" t="s">
        <v>20</v>
      </c>
      <c r="D215" t="s">
        <v>9</v>
      </c>
      <c r="E215" t="s">
        <v>11</v>
      </c>
      <c r="F215">
        <v>43</v>
      </c>
      <c r="G215">
        <v>1.8699999999999999</v>
      </c>
      <c r="H215">
        <f>Sales_Data[[#This Row],[Quantity]]*Sales_Data[[#This Row],[UnitPrice]]</f>
        <v>80.41</v>
      </c>
      <c r="I215">
        <v>69.956699999999998</v>
      </c>
      <c r="J215" s="2"/>
    </row>
    <row r="216" spans="1:10" x14ac:dyDescent="0.25">
      <c r="A216" s="1">
        <v>44473</v>
      </c>
      <c r="B216" t="s">
        <v>19</v>
      </c>
      <c r="C216" t="s">
        <v>20</v>
      </c>
      <c r="D216" t="s">
        <v>13</v>
      </c>
      <c r="E216" t="s">
        <v>15</v>
      </c>
      <c r="F216">
        <v>47</v>
      </c>
      <c r="G216">
        <v>2.84</v>
      </c>
      <c r="H216">
        <f>Sales_Data[[#This Row],[Quantity]]*Sales_Data[[#This Row],[UnitPrice]]</f>
        <v>133.47999999999999</v>
      </c>
      <c r="I216">
        <v>113.458</v>
      </c>
      <c r="J216" s="2"/>
    </row>
    <row r="217" spans="1:10" x14ac:dyDescent="0.25">
      <c r="A217" s="1">
        <v>44476</v>
      </c>
      <c r="B217" t="s">
        <v>6</v>
      </c>
      <c r="C217" t="s">
        <v>18</v>
      </c>
      <c r="D217" t="s">
        <v>13</v>
      </c>
      <c r="E217" t="s">
        <v>8</v>
      </c>
      <c r="F217">
        <v>175</v>
      </c>
      <c r="G217">
        <v>2.1800000000000002</v>
      </c>
      <c r="H217">
        <f>Sales_Data[[#This Row],[Quantity]]*Sales_Data[[#This Row],[UnitPrice]]</f>
        <v>381.5</v>
      </c>
      <c r="I217">
        <v>316.64499999999998</v>
      </c>
      <c r="J217" s="2"/>
    </row>
    <row r="218" spans="1:10" x14ac:dyDescent="0.25">
      <c r="A218" s="1">
        <v>44479</v>
      </c>
      <c r="B218" t="s">
        <v>6</v>
      </c>
      <c r="C218" t="s">
        <v>18</v>
      </c>
      <c r="D218" t="s">
        <v>13</v>
      </c>
      <c r="E218" t="s">
        <v>14</v>
      </c>
      <c r="F218">
        <v>23</v>
      </c>
      <c r="G218">
        <v>1.8699999999999999</v>
      </c>
      <c r="H218">
        <f>Sales_Data[[#This Row],[Quantity]]*Sales_Data[[#This Row],[UnitPrice]]</f>
        <v>43.01</v>
      </c>
      <c r="I218">
        <v>41.2896</v>
      </c>
      <c r="J218" s="2"/>
    </row>
    <row r="219" spans="1:10" x14ac:dyDescent="0.25">
      <c r="A219" s="1">
        <v>44482</v>
      </c>
      <c r="B219" t="s">
        <v>19</v>
      </c>
      <c r="C219" t="s">
        <v>21</v>
      </c>
      <c r="D219" t="s">
        <v>9</v>
      </c>
      <c r="E219" t="s">
        <v>12</v>
      </c>
      <c r="F219">
        <v>40</v>
      </c>
      <c r="G219">
        <v>1.77</v>
      </c>
      <c r="H219">
        <f>Sales_Data[[#This Row],[Quantity]]*Sales_Data[[#This Row],[UnitPrice]]</f>
        <v>70.8</v>
      </c>
      <c r="I219">
        <v>60.887999999999998</v>
      </c>
      <c r="J219" s="2"/>
    </row>
    <row r="220" spans="1:10" x14ac:dyDescent="0.25">
      <c r="A220" s="1">
        <v>44485</v>
      </c>
      <c r="B220" t="s">
        <v>6</v>
      </c>
      <c r="C220" t="s">
        <v>7</v>
      </c>
      <c r="D220" t="s">
        <v>13</v>
      </c>
      <c r="E220" t="s">
        <v>8</v>
      </c>
      <c r="F220">
        <v>87</v>
      </c>
      <c r="G220">
        <v>2.1800000000000002</v>
      </c>
      <c r="H220">
        <f>Sales_Data[[#This Row],[Quantity]]*Sales_Data[[#This Row],[UnitPrice]]</f>
        <v>189.66000000000003</v>
      </c>
      <c r="I220">
        <v>174.48720000000003</v>
      </c>
      <c r="J220" s="2"/>
    </row>
    <row r="221" spans="1:10" x14ac:dyDescent="0.25">
      <c r="A221" s="1">
        <v>44488</v>
      </c>
      <c r="B221" t="s">
        <v>6</v>
      </c>
      <c r="C221" t="s">
        <v>7</v>
      </c>
      <c r="D221" t="s">
        <v>9</v>
      </c>
      <c r="E221" t="s">
        <v>12</v>
      </c>
      <c r="F221">
        <v>43</v>
      </c>
      <c r="G221">
        <v>1.77</v>
      </c>
      <c r="H221">
        <f>Sales_Data[[#This Row],[Quantity]]*Sales_Data[[#This Row],[UnitPrice]]</f>
        <v>76.11</v>
      </c>
      <c r="I221">
        <v>66.976799999999997</v>
      </c>
      <c r="J221" s="2"/>
    </row>
    <row r="222" spans="1:10" x14ac:dyDescent="0.25">
      <c r="A222" s="1">
        <v>44491</v>
      </c>
      <c r="B222" t="s">
        <v>6</v>
      </c>
      <c r="C222" t="s">
        <v>7</v>
      </c>
      <c r="D222" t="s">
        <v>22</v>
      </c>
      <c r="E222" t="s">
        <v>23</v>
      </c>
      <c r="F222">
        <v>30</v>
      </c>
      <c r="G222">
        <v>3.49</v>
      </c>
      <c r="H222">
        <f>Sales_Data[[#This Row],[Quantity]]*Sales_Data[[#This Row],[UnitPrice]]</f>
        <v>104.7</v>
      </c>
      <c r="I222">
        <v>102.60600000000001</v>
      </c>
      <c r="J222" s="2"/>
    </row>
    <row r="223" spans="1:10" x14ac:dyDescent="0.25">
      <c r="A223" s="1">
        <v>44494</v>
      </c>
      <c r="B223" t="s">
        <v>19</v>
      </c>
      <c r="C223" t="s">
        <v>20</v>
      </c>
      <c r="D223" t="s">
        <v>9</v>
      </c>
      <c r="E223" t="s">
        <v>12</v>
      </c>
      <c r="F223">
        <v>35</v>
      </c>
      <c r="G223">
        <v>1.77</v>
      </c>
      <c r="H223">
        <f>Sales_Data[[#This Row],[Quantity]]*Sales_Data[[#This Row],[UnitPrice]]</f>
        <v>61.95</v>
      </c>
      <c r="I223">
        <v>60.711000000000006</v>
      </c>
      <c r="J223" s="2"/>
    </row>
    <row r="224" spans="1:10" x14ac:dyDescent="0.25">
      <c r="A224" s="1">
        <v>44497</v>
      </c>
      <c r="B224" t="s">
        <v>6</v>
      </c>
      <c r="C224" t="s">
        <v>18</v>
      </c>
      <c r="D224" t="s">
        <v>9</v>
      </c>
      <c r="E224" t="s">
        <v>11</v>
      </c>
      <c r="F224">
        <v>57</v>
      </c>
      <c r="G224">
        <v>1.87</v>
      </c>
      <c r="H224">
        <f>Sales_Data[[#This Row],[Quantity]]*Sales_Data[[#This Row],[UnitPrice]]</f>
        <v>106.59</v>
      </c>
      <c r="I224">
        <v>101.26050000000001</v>
      </c>
      <c r="J224" s="2"/>
    </row>
    <row r="225" spans="1:10" x14ac:dyDescent="0.25">
      <c r="A225" s="1">
        <v>44500</v>
      </c>
      <c r="B225" t="s">
        <v>6</v>
      </c>
      <c r="C225" t="s">
        <v>18</v>
      </c>
      <c r="D225" t="s">
        <v>16</v>
      </c>
      <c r="E225" t="s">
        <v>17</v>
      </c>
      <c r="F225">
        <v>25</v>
      </c>
      <c r="G225">
        <v>1.68</v>
      </c>
      <c r="H225">
        <f>Sales_Data[[#This Row],[Quantity]]*Sales_Data[[#This Row],[UnitPrice]]</f>
        <v>42</v>
      </c>
      <c r="I225">
        <v>36.54</v>
      </c>
      <c r="J225" s="2"/>
    </row>
    <row r="226" spans="1:10" x14ac:dyDescent="0.25">
      <c r="A226" s="1">
        <v>44503</v>
      </c>
      <c r="B226" t="s">
        <v>19</v>
      </c>
      <c r="C226" t="s">
        <v>21</v>
      </c>
      <c r="D226" t="s">
        <v>13</v>
      </c>
      <c r="E226" t="s">
        <v>14</v>
      </c>
      <c r="F226">
        <v>24</v>
      </c>
      <c r="G226">
        <v>1.87</v>
      </c>
      <c r="H226">
        <f>Sales_Data[[#This Row],[Quantity]]*Sales_Data[[#This Row],[UnitPrice]]</f>
        <v>44.88</v>
      </c>
      <c r="I226">
        <v>40.840800000000002</v>
      </c>
      <c r="J226" s="2"/>
    </row>
    <row r="227" spans="1:10" x14ac:dyDescent="0.25">
      <c r="A227" s="1">
        <v>44506</v>
      </c>
      <c r="B227" t="s">
        <v>6</v>
      </c>
      <c r="C227" t="s">
        <v>7</v>
      </c>
      <c r="D227" t="s">
        <v>9</v>
      </c>
      <c r="E227" t="s">
        <v>11</v>
      </c>
      <c r="F227">
        <v>83</v>
      </c>
      <c r="G227">
        <v>1.87</v>
      </c>
      <c r="H227">
        <f>Sales_Data[[#This Row],[Quantity]]*Sales_Data[[#This Row],[UnitPrice]]</f>
        <v>155.21</v>
      </c>
      <c r="I227">
        <v>131.92850000000001</v>
      </c>
      <c r="J227" s="2"/>
    </row>
    <row r="228" spans="1:10" x14ac:dyDescent="0.25">
      <c r="A228" s="1">
        <v>44509</v>
      </c>
      <c r="B228" t="s">
        <v>6</v>
      </c>
      <c r="C228" t="s">
        <v>7</v>
      </c>
      <c r="D228" t="s">
        <v>13</v>
      </c>
      <c r="E228" t="s">
        <v>15</v>
      </c>
      <c r="F228">
        <v>124</v>
      </c>
      <c r="G228">
        <v>2.8400000000000003</v>
      </c>
      <c r="H228">
        <f>Sales_Data[[#This Row],[Quantity]]*Sales_Data[[#This Row],[UnitPrice]]</f>
        <v>352.16</v>
      </c>
      <c r="I228">
        <v>306.37920000000003</v>
      </c>
      <c r="J228" s="2"/>
    </row>
    <row r="229" spans="1:10" x14ac:dyDescent="0.25">
      <c r="A229" s="1">
        <v>44512</v>
      </c>
      <c r="B229" t="s">
        <v>19</v>
      </c>
      <c r="C229" t="s">
        <v>20</v>
      </c>
      <c r="D229" t="s">
        <v>9</v>
      </c>
      <c r="E229" t="s">
        <v>12</v>
      </c>
      <c r="F229">
        <v>137</v>
      </c>
      <c r="G229">
        <v>1.77</v>
      </c>
      <c r="H229">
        <f>Sales_Data[[#This Row],[Quantity]]*Sales_Data[[#This Row],[UnitPrice]]</f>
        <v>242.49</v>
      </c>
      <c r="I229">
        <v>206.1165</v>
      </c>
      <c r="J229" s="2"/>
    </row>
    <row r="230" spans="1:10" x14ac:dyDescent="0.25">
      <c r="A230" s="1">
        <v>44515</v>
      </c>
      <c r="B230" t="s">
        <v>6</v>
      </c>
      <c r="C230" t="s">
        <v>18</v>
      </c>
      <c r="D230" t="s">
        <v>13</v>
      </c>
      <c r="E230" t="s">
        <v>8</v>
      </c>
      <c r="F230">
        <v>146</v>
      </c>
      <c r="G230">
        <v>2.1799999999999997</v>
      </c>
      <c r="H230">
        <f>Sales_Data[[#This Row],[Quantity]]*Sales_Data[[#This Row],[UnitPrice]]</f>
        <v>318.27999999999997</v>
      </c>
      <c r="I230">
        <v>315.09719999999999</v>
      </c>
      <c r="J230" s="2"/>
    </row>
    <row r="231" spans="1:10" x14ac:dyDescent="0.25">
      <c r="A231" s="1">
        <v>44518</v>
      </c>
      <c r="B231" t="s">
        <v>6</v>
      </c>
      <c r="C231" t="s">
        <v>18</v>
      </c>
      <c r="D231" t="s">
        <v>13</v>
      </c>
      <c r="E231" t="s">
        <v>14</v>
      </c>
      <c r="F231">
        <v>34</v>
      </c>
      <c r="G231">
        <v>1.8699999999999999</v>
      </c>
      <c r="H231">
        <f>Sales_Data[[#This Row],[Quantity]]*Sales_Data[[#This Row],[UnitPrice]]</f>
        <v>63.58</v>
      </c>
      <c r="I231">
        <v>62.944199999999995</v>
      </c>
      <c r="J231" s="2"/>
    </row>
    <row r="232" spans="1:10" x14ac:dyDescent="0.25">
      <c r="A232" s="1">
        <v>44521</v>
      </c>
      <c r="B232" t="s">
        <v>19</v>
      </c>
      <c r="C232" t="s">
        <v>21</v>
      </c>
      <c r="D232" t="s">
        <v>9</v>
      </c>
      <c r="E232" t="s">
        <v>12</v>
      </c>
      <c r="F232">
        <v>20</v>
      </c>
      <c r="G232">
        <v>1.77</v>
      </c>
      <c r="H232">
        <f>Sales_Data[[#This Row],[Quantity]]*Sales_Data[[#This Row],[UnitPrice]]</f>
        <v>35.4</v>
      </c>
      <c r="I232">
        <v>31.86</v>
      </c>
      <c r="J232" s="2"/>
    </row>
    <row r="233" spans="1:10" x14ac:dyDescent="0.25">
      <c r="A233" s="1">
        <v>44524</v>
      </c>
      <c r="B233" t="s">
        <v>6</v>
      </c>
      <c r="C233" t="s">
        <v>7</v>
      </c>
      <c r="D233" t="s">
        <v>13</v>
      </c>
      <c r="E233" t="s">
        <v>8</v>
      </c>
      <c r="F233">
        <v>139</v>
      </c>
      <c r="G233">
        <v>2.1799999999999997</v>
      </c>
      <c r="H233">
        <f>Sales_Data[[#This Row],[Quantity]]*Sales_Data[[#This Row],[UnitPrice]]</f>
        <v>303.02</v>
      </c>
      <c r="I233">
        <v>278.77839999999998</v>
      </c>
      <c r="J233" s="2"/>
    </row>
    <row r="234" spans="1:10" x14ac:dyDescent="0.25">
      <c r="A234" s="1">
        <v>44527</v>
      </c>
      <c r="B234" t="s">
        <v>6</v>
      </c>
      <c r="C234" t="s">
        <v>7</v>
      </c>
      <c r="D234" t="s">
        <v>13</v>
      </c>
      <c r="E234" t="s">
        <v>14</v>
      </c>
      <c r="F234">
        <v>211</v>
      </c>
      <c r="G234">
        <v>1.8699999999999999</v>
      </c>
      <c r="H234">
        <f>Sales_Data[[#This Row],[Quantity]]*Sales_Data[[#This Row],[UnitPrice]]</f>
        <v>394.57</v>
      </c>
      <c r="I234">
        <v>339.33019999999999</v>
      </c>
      <c r="J234" s="2"/>
    </row>
    <row r="235" spans="1:10" x14ac:dyDescent="0.25">
      <c r="A235" s="1">
        <v>44530</v>
      </c>
      <c r="B235" t="s">
        <v>6</v>
      </c>
      <c r="C235" t="s">
        <v>7</v>
      </c>
      <c r="D235" t="s">
        <v>22</v>
      </c>
      <c r="E235" t="s">
        <v>23</v>
      </c>
      <c r="F235">
        <v>20</v>
      </c>
      <c r="G235">
        <v>3.4899999999999998</v>
      </c>
      <c r="H235">
        <f>Sales_Data[[#This Row],[Quantity]]*Sales_Data[[#This Row],[UnitPrice]]</f>
        <v>69.8</v>
      </c>
      <c r="I235">
        <v>66.31</v>
      </c>
      <c r="J235" s="2"/>
    </row>
    <row r="236" spans="1:10" x14ac:dyDescent="0.25">
      <c r="A236" s="1">
        <v>44533</v>
      </c>
      <c r="B236" t="s">
        <v>19</v>
      </c>
      <c r="C236" t="s">
        <v>20</v>
      </c>
      <c r="D236" t="s">
        <v>9</v>
      </c>
      <c r="E236" t="s">
        <v>11</v>
      </c>
      <c r="F236">
        <v>42</v>
      </c>
      <c r="G236">
        <v>1.87</v>
      </c>
      <c r="H236">
        <f>Sales_Data[[#This Row],[Quantity]]*Sales_Data[[#This Row],[UnitPrice]]</f>
        <v>78.540000000000006</v>
      </c>
      <c r="I236">
        <v>70.686000000000007</v>
      </c>
      <c r="J236" s="2"/>
    </row>
    <row r="237" spans="1:10" x14ac:dyDescent="0.25">
      <c r="A237" s="1">
        <v>44536</v>
      </c>
      <c r="B237" t="s">
        <v>19</v>
      </c>
      <c r="C237" t="s">
        <v>20</v>
      </c>
      <c r="D237" t="s">
        <v>13</v>
      </c>
      <c r="E237" t="s">
        <v>15</v>
      </c>
      <c r="F237">
        <v>100</v>
      </c>
      <c r="G237">
        <v>2.84</v>
      </c>
      <c r="H237">
        <f>Sales_Data[[#This Row],[Quantity]]*Sales_Data[[#This Row],[UnitPrice]]</f>
        <v>284</v>
      </c>
      <c r="I237">
        <v>244.24</v>
      </c>
      <c r="J237" s="2"/>
    </row>
    <row r="238" spans="1:10" x14ac:dyDescent="0.25">
      <c r="A238" s="1">
        <v>44539</v>
      </c>
      <c r="B238" t="s">
        <v>6</v>
      </c>
      <c r="C238" t="s">
        <v>18</v>
      </c>
      <c r="D238" t="s">
        <v>9</v>
      </c>
      <c r="E238" t="s">
        <v>12</v>
      </c>
      <c r="F238">
        <v>38</v>
      </c>
      <c r="G238">
        <v>1.7700000000000002</v>
      </c>
      <c r="H238">
        <f>Sales_Data[[#This Row],[Quantity]]*Sales_Data[[#This Row],[UnitPrice]]</f>
        <v>67.260000000000005</v>
      </c>
      <c r="I238">
        <v>55.153200000000005</v>
      </c>
      <c r="J238" s="2"/>
    </row>
    <row r="239" spans="1:10" x14ac:dyDescent="0.25">
      <c r="A239" s="1">
        <v>44542</v>
      </c>
      <c r="B239" t="s">
        <v>6</v>
      </c>
      <c r="C239" t="s">
        <v>18</v>
      </c>
      <c r="D239" t="s">
        <v>22</v>
      </c>
      <c r="E239" t="s">
        <v>23</v>
      </c>
      <c r="F239">
        <v>25</v>
      </c>
      <c r="G239">
        <v>3.49</v>
      </c>
      <c r="H239">
        <f>Sales_Data[[#This Row],[Quantity]]*Sales_Data[[#This Row],[UnitPrice]]</f>
        <v>87.25</v>
      </c>
      <c r="I239">
        <v>77.652500000000003</v>
      </c>
      <c r="J239" s="2"/>
    </row>
    <row r="240" spans="1:10" x14ac:dyDescent="0.25">
      <c r="A240" s="1">
        <v>44545</v>
      </c>
      <c r="B240" t="s">
        <v>19</v>
      </c>
      <c r="C240" t="s">
        <v>21</v>
      </c>
      <c r="D240" t="s">
        <v>13</v>
      </c>
      <c r="E240" t="s">
        <v>14</v>
      </c>
      <c r="F240">
        <v>96</v>
      </c>
      <c r="G240">
        <v>1.87</v>
      </c>
      <c r="H240">
        <f>Sales_Data[[#This Row],[Quantity]]*Sales_Data[[#This Row],[UnitPrice]]</f>
        <v>179.52</v>
      </c>
      <c r="I240">
        <v>177.72480000000002</v>
      </c>
      <c r="J240" s="2"/>
    </row>
    <row r="241" spans="1:10" x14ac:dyDescent="0.25">
      <c r="A241" s="1">
        <v>44548</v>
      </c>
      <c r="B241" t="s">
        <v>6</v>
      </c>
      <c r="C241" t="s">
        <v>7</v>
      </c>
      <c r="D241" t="s">
        <v>13</v>
      </c>
      <c r="E241" t="s">
        <v>8</v>
      </c>
      <c r="F241">
        <v>34</v>
      </c>
      <c r="G241">
        <v>2.1800000000000002</v>
      </c>
      <c r="H241">
        <f>Sales_Data[[#This Row],[Quantity]]*Sales_Data[[#This Row],[UnitPrice]]</f>
        <v>74.12</v>
      </c>
      <c r="I241">
        <v>63.002000000000002</v>
      </c>
      <c r="J241" s="2"/>
    </row>
    <row r="242" spans="1:10" x14ac:dyDescent="0.25">
      <c r="A242" s="1">
        <v>44551</v>
      </c>
      <c r="B242" t="s">
        <v>6</v>
      </c>
      <c r="C242" t="s">
        <v>7</v>
      </c>
      <c r="D242" t="s">
        <v>13</v>
      </c>
      <c r="E242" t="s">
        <v>14</v>
      </c>
      <c r="F242">
        <v>245</v>
      </c>
      <c r="G242">
        <v>1.8699999999999999</v>
      </c>
      <c r="H242">
        <f>Sales_Data[[#This Row],[Quantity]]*Sales_Data[[#This Row],[UnitPrice]]</f>
        <v>458.15</v>
      </c>
      <c r="I242">
        <v>435.24249999999995</v>
      </c>
      <c r="J242" s="2"/>
    </row>
    <row r="243" spans="1:10" x14ac:dyDescent="0.25">
      <c r="A243" s="1">
        <v>44554</v>
      </c>
      <c r="B243" t="s">
        <v>6</v>
      </c>
      <c r="C243" t="s">
        <v>7</v>
      </c>
      <c r="D243" t="s">
        <v>22</v>
      </c>
      <c r="E243" t="s">
        <v>23</v>
      </c>
      <c r="F243">
        <v>30</v>
      </c>
      <c r="G243">
        <v>3.49</v>
      </c>
      <c r="H243">
        <f>Sales_Data[[#This Row],[Quantity]]*Sales_Data[[#This Row],[UnitPrice]]</f>
        <v>104.7</v>
      </c>
      <c r="I243">
        <v>95.277000000000001</v>
      </c>
      <c r="J243" s="2"/>
    </row>
    <row r="244" spans="1:10" x14ac:dyDescent="0.25">
      <c r="A244" s="1">
        <v>44557</v>
      </c>
      <c r="B244" t="s">
        <v>19</v>
      </c>
      <c r="C244" t="s">
        <v>20</v>
      </c>
      <c r="D244" t="s">
        <v>9</v>
      </c>
      <c r="E244" t="s">
        <v>11</v>
      </c>
      <c r="F244">
        <v>30</v>
      </c>
      <c r="G244">
        <v>1.87</v>
      </c>
      <c r="H244">
        <f>Sales_Data[[#This Row],[Quantity]]*Sales_Data[[#This Row],[UnitPrice]]</f>
        <v>56.1</v>
      </c>
      <c r="I244">
        <v>53.295000000000002</v>
      </c>
      <c r="J244" s="2"/>
    </row>
    <row r="245" spans="1:10" x14ac:dyDescent="0.25">
      <c r="A245" s="1">
        <v>44560</v>
      </c>
      <c r="B245" t="s">
        <v>19</v>
      </c>
      <c r="C245" t="s">
        <v>20</v>
      </c>
      <c r="D245" t="s">
        <v>13</v>
      </c>
      <c r="E245" t="s">
        <v>15</v>
      </c>
      <c r="F245">
        <v>44</v>
      </c>
      <c r="G245">
        <v>2.84</v>
      </c>
      <c r="H245">
        <f>Sales_Data[[#This Row],[Quantity]]*Sales_Data[[#This Row],[UnitPrice]]</f>
        <v>124.96</v>
      </c>
      <c r="I245">
        <v>111.2144</v>
      </c>
      <c r="J245" s="2"/>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16"/>
  <sheetViews>
    <sheetView workbookViewId="0">
      <selection activeCell="A8" sqref="A8"/>
    </sheetView>
  </sheetViews>
  <sheetFormatPr defaultRowHeight="15" x14ac:dyDescent="0.25"/>
  <cols>
    <col min="1" max="1" width="13.140625" bestFit="1" customWidth="1"/>
    <col min="2" max="2" width="16.5703125" bestFit="1" customWidth="1"/>
  </cols>
  <sheetData>
    <row r="3" spans="1:2" x14ac:dyDescent="0.25">
      <c r="A3" s="3" t="s">
        <v>28</v>
      </c>
      <c r="B3" t="s">
        <v>42</v>
      </c>
    </row>
    <row r="4" spans="1:2" x14ac:dyDescent="0.25">
      <c r="A4" s="4" t="s">
        <v>30</v>
      </c>
      <c r="B4" s="6">
        <v>1705.82</v>
      </c>
    </row>
    <row r="5" spans="1:2" x14ac:dyDescent="0.25">
      <c r="A5" s="4" t="s">
        <v>31</v>
      </c>
      <c r="B5" s="6">
        <v>926.05</v>
      </c>
    </row>
    <row r="6" spans="1:2" x14ac:dyDescent="0.25">
      <c r="A6" s="4" t="s">
        <v>32</v>
      </c>
      <c r="B6" s="6">
        <v>1647.6999999999998</v>
      </c>
    </row>
    <row r="7" spans="1:2" x14ac:dyDescent="0.25">
      <c r="A7" s="4" t="s">
        <v>33</v>
      </c>
      <c r="B7" s="6">
        <v>1052.0899999999999</v>
      </c>
    </row>
    <row r="8" spans="1:2" x14ac:dyDescent="0.25">
      <c r="A8" s="4" t="s">
        <v>34</v>
      </c>
      <c r="B8" s="6">
        <v>1393.4499999999998</v>
      </c>
    </row>
    <row r="9" spans="1:2" x14ac:dyDescent="0.25">
      <c r="A9" s="4" t="s">
        <v>35</v>
      </c>
      <c r="B9" s="6">
        <v>2308.7499999999995</v>
      </c>
    </row>
    <row r="10" spans="1:2" x14ac:dyDescent="0.25">
      <c r="A10" s="4" t="s">
        <v>36</v>
      </c>
      <c r="B10" s="6">
        <v>1263.1600000000001</v>
      </c>
    </row>
    <row r="11" spans="1:2" x14ac:dyDescent="0.25">
      <c r="A11" s="4" t="s">
        <v>37</v>
      </c>
      <c r="B11" s="6">
        <v>1490.8999999999999</v>
      </c>
    </row>
    <row r="12" spans="1:2" x14ac:dyDescent="0.25">
      <c r="A12" s="4" t="s">
        <v>38</v>
      </c>
      <c r="B12" s="6">
        <v>1524.06</v>
      </c>
    </row>
    <row r="13" spans="1:2" x14ac:dyDescent="0.25">
      <c r="A13" s="4" t="s">
        <v>39</v>
      </c>
      <c r="B13" s="6">
        <v>1755.5700000000002</v>
      </c>
    </row>
    <row r="14" spans="1:2" x14ac:dyDescent="0.25">
      <c r="A14" s="4" t="s">
        <v>40</v>
      </c>
      <c r="B14" s="6">
        <v>1311.4699999999998</v>
      </c>
    </row>
    <row r="15" spans="1:2" x14ac:dyDescent="0.25">
      <c r="A15" s="4" t="s">
        <v>41</v>
      </c>
      <c r="B15" s="6">
        <v>1609.64</v>
      </c>
    </row>
    <row r="16" spans="1:2" x14ac:dyDescent="0.25">
      <c r="A16" s="4" t="s">
        <v>29</v>
      </c>
      <c r="B16" s="6">
        <v>17988.659999999996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FoodSales</vt:lpstr>
    </vt:vector>
  </TitlesOfParts>
  <Company>Contextures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god</cp:lastModifiedBy>
  <cp:lastPrinted>2013-05-31T18:56:13Z</cp:lastPrinted>
  <dcterms:created xsi:type="dcterms:W3CDTF">2007-08-07T00:48:59Z</dcterms:created>
  <dcterms:modified xsi:type="dcterms:W3CDTF">2022-02-04T16:38:46Z</dcterms:modified>
</cp:coreProperties>
</file>